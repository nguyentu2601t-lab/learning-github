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ebextensions/webextension1.xml" ContentType="application/vnd.ms-office.webextensio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0490" windowHeight="7650" firstSheet="1" activeTab="1"/>
  </bookViews>
  <sheets>
    <sheet name="DINH MUC THONG SO VH" sheetId="9" r:id="rId1"/>
    <sheet name="KH - THEO DÕI LÒ" sheetId="2" r:id="rId2"/>
    <sheet name="BCAO TUAN" sheetId="13" r:id="rId3"/>
    <sheet name="TỔNG KẾT KẾ HOẠCH THÁNG" sheetId="8" r:id="rId4"/>
    <sheet name="DINH MUC CHI PHI VH" sheetId="10" r:id="rId5"/>
    <sheet name="ĐỊNH MỨC VT LÒ" sheetId="3" r:id="rId6"/>
    <sheet name="THEO DÕI KHẤU HAO VT" sheetId="4" r:id="rId7"/>
    <sheet name="BÁO CÁO GIÁ THÀNH" sheetId="5" r:id="rId8"/>
    <sheet name="QUY TRINH VAN HANH LO" sheetId="12" r:id="rId9"/>
    <sheet name="Sheet1" sheetId="14" r:id="rId10"/>
    <sheet name="Sheet2" sheetId="15" r:id="rId11"/>
  </sheets>
  <functionGroups builtInGroupCount="18"/>
  <externalReferences>
    <externalReference r:id="rId12"/>
    <externalReference r:id="rId13"/>
  </externalReferences>
  <definedNames>
    <definedName name="_xlnm._FilterDatabase" localSheetId="1" hidden="1">'KH - THEO DÕI LÒ'!$E$1:$E$88</definedName>
    <definedName name="_xlnm.Print_Area" localSheetId="2">'BCAO TUAN'!$B$2:$L$32</definedName>
  </definedNames>
  <calcPr calcId="162913"/>
</workbook>
</file>

<file path=xl/calcChain.xml><?xml version="1.0" encoding="utf-8"?>
<calcChain xmlns="http://schemas.openxmlformats.org/spreadsheetml/2006/main">
  <c r="J20" i="10" l="1"/>
  <c r="F23" i="13" l="1"/>
  <c r="J10" i="10" l="1"/>
  <c r="N10" i="10"/>
  <c r="O10" i="10"/>
  <c r="I10" i="10"/>
  <c r="H10" i="10"/>
  <c r="L10" i="10" s="1"/>
  <c r="G10" i="10"/>
  <c r="F10" i="10"/>
  <c r="I19" i="10" l="1"/>
  <c r="H19" i="10"/>
  <c r="I6" i="10" l="1"/>
  <c r="I5" i="10"/>
  <c r="F26" i="13" l="1"/>
  <c r="F29" i="13"/>
  <c r="I23" i="13" l="1"/>
  <c r="I24" i="13" s="1"/>
  <c r="F24" i="13"/>
  <c r="I4" i="10" l="1"/>
  <c r="C15" i="13" l="1"/>
  <c r="M23" i="10" l="1"/>
  <c r="K23" i="10"/>
  <c r="M22" i="10" l="1"/>
  <c r="K22" i="10"/>
  <c r="AG5" i="2" l="1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4" i="2"/>
  <c r="X28" i="2"/>
  <c r="W6" i="2"/>
  <c r="W7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5" i="2"/>
  <c r="W26" i="2"/>
  <c r="W27" i="2"/>
  <c r="W28" i="2"/>
  <c r="W29" i="2"/>
  <c r="W30" i="2"/>
  <c r="W31" i="2"/>
  <c r="W33" i="2"/>
  <c r="W35" i="2"/>
  <c r="W36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V29" i="2"/>
  <c r="U6" i="2"/>
  <c r="U9" i="2"/>
  <c r="U19" i="2"/>
  <c r="U21" i="2"/>
  <c r="U22" i="2"/>
  <c r="U28" i="2"/>
  <c r="U29" i="2"/>
  <c r="U30" i="2"/>
  <c r="U36" i="2"/>
  <c r="U38" i="2"/>
  <c r="U40" i="2"/>
  <c r="U41" i="2"/>
  <c r="U42" i="2"/>
  <c r="U43" i="2"/>
  <c r="U45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W4" i="2"/>
  <c r="F12" i="13" l="1"/>
  <c r="F9" i="13"/>
  <c r="D9" i="13"/>
  <c r="D12" i="13"/>
  <c r="D6" i="13"/>
  <c r="AE11" i="2"/>
  <c r="M21" i="10"/>
  <c r="K21" i="10"/>
  <c r="W8" i="2" l="1"/>
  <c r="W24" i="2"/>
  <c r="W37" i="2"/>
  <c r="I18" i="10"/>
  <c r="H18" i="10"/>
  <c r="S4" i="2" l="1"/>
  <c r="M7" i="2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M63" i="2"/>
  <c r="M45" i="2"/>
  <c r="M39" i="2"/>
  <c r="M17" i="2"/>
  <c r="M51" i="2"/>
  <c r="M59" i="2"/>
  <c r="M12" i="2"/>
  <c r="M49" i="2"/>
  <c r="M40" i="2"/>
  <c r="M61" i="2"/>
  <c r="M35" i="2"/>
  <c r="M22" i="2"/>
  <c r="M27" i="2"/>
  <c r="M32" i="2"/>
  <c r="M37" i="2"/>
  <c r="M24" i="2"/>
  <c r="M41" i="2"/>
  <c r="M8" i="2"/>
  <c r="M46" i="2"/>
  <c r="M54" i="2"/>
  <c r="M52" i="2"/>
  <c r="M18" i="2"/>
  <c r="M47" i="2"/>
  <c r="M14" i="2"/>
  <c r="M56" i="2"/>
  <c r="M38" i="2"/>
  <c r="M29" i="2"/>
  <c r="M26" i="2"/>
  <c r="M31" i="2"/>
  <c r="M44" i="2"/>
  <c r="M11" i="2"/>
  <c r="M19" i="2"/>
  <c r="M21" i="2"/>
  <c r="M23" i="2"/>
  <c r="M10" i="2"/>
  <c r="M25" i="2"/>
  <c r="M9" i="2"/>
  <c r="M15" i="2"/>
  <c r="M60" i="2"/>
  <c r="M62" i="2"/>
  <c r="M50" i="2"/>
  <c r="M30" i="2"/>
  <c r="M34" i="2"/>
  <c r="M13" i="2"/>
  <c r="M42" i="2"/>
  <c r="M53" i="2"/>
  <c r="M48" i="2"/>
  <c r="M57" i="2"/>
  <c r="M43" i="2"/>
  <c r="M58" i="2"/>
  <c r="M55" i="2"/>
  <c r="M36" i="2"/>
  <c r="M20" i="2"/>
  <c r="M16" i="2"/>
  <c r="M28" i="2"/>
  <c r="M33" i="2"/>
  <c r="M4" i="2"/>
  <c r="M5" i="2"/>
  <c r="M6" i="2"/>
  <c r="D32" i="13" l="1"/>
  <c r="C32" i="13"/>
  <c r="E29" i="13" s="1"/>
  <c r="I29" i="13"/>
  <c r="H29" i="13"/>
  <c r="G29" i="13"/>
  <c r="I26" i="13"/>
  <c r="I27" i="13" s="1"/>
  <c r="H26" i="13"/>
  <c r="H27" i="13" s="1"/>
  <c r="G26" i="13"/>
  <c r="G27" i="13" s="1"/>
  <c r="H23" i="13"/>
  <c r="G23" i="13"/>
  <c r="H30" i="13" l="1"/>
  <c r="I30" i="13"/>
  <c r="F30" i="13"/>
  <c r="G30" i="13"/>
  <c r="J26" i="13"/>
  <c r="J27" i="13" s="1"/>
  <c r="F27" i="13"/>
  <c r="G24" i="13"/>
  <c r="H25" i="13"/>
  <c r="H24" i="13"/>
  <c r="E23" i="13"/>
  <c r="E26" i="13"/>
  <c r="E32" i="13"/>
  <c r="J29" i="13"/>
  <c r="F31" i="13" s="1"/>
  <c r="J23" i="13"/>
  <c r="G25" i="13" s="1"/>
  <c r="F28" i="13"/>
  <c r="I31" i="13" l="1"/>
  <c r="G31" i="13"/>
  <c r="J31" i="13"/>
  <c r="J30" i="13"/>
  <c r="H31" i="13"/>
  <c r="J32" i="13"/>
  <c r="J24" i="13"/>
  <c r="J25" i="13"/>
  <c r="F25" i="13"/>
  <c r="F32" i="13" s="1"/>
  <c r="I25" i="13"/>
  <c r="J28" i="13"/>
  <c r="K26" i="13"/>
  <c r="G28" i="13"/>
  <c r="G32" i="13" s="1"/>
  <c r="H28" i="13"/>
  <c r="H32" i="13" s="1"/>
  <c r="I28" i="13"/>
  <c r="K29" i="13"/>
  <c r="K23" i="13"/>
  <c r="I32" i="13" l="1"/>
  <c r="K32" i="13"/>
  <c r="E6" i="13"/>
  <c r="E12" i="13"/>
  <c r="E9" i="13" l="1"/>
  <c r="Y5" i="10"/>
  <c r="H5" i="10"/>
  <c r="X42" i="2" s="1"/>
  <c r="F5" i="10"/>
  <c r="G5" i="10" s="1"/>
  <c r="D15" i="13" l="1"/>
  <c r="E15" i="13" s="1"/>
  <c r="M16" i="10" l="1"/>
  <c r="M15" i="10"/>
  <c r="M14" i="10"/>
  <c r="M13" i="10"/>
  <c r="K16" i="10" l="1"/>
  <c r="K15" i="10"/>
  <c r="K14" i="10"/>
  <c r="K13" i="10"/>
  <c r="W32" i="2" l="1"/>
  <c r="W5" i="2"/>
  <c r="W34" i="2"/>
  <c r="S5" i="2"/>
  <c r="S6" i="2" l="1"/>
  <c r="N45" i="2"/>
  <c r="T45" i="2" s="1"/>
  <c r="D45" i="2"/>
  <c r="AF12" i="2" l="1"/>
  <c r="N29" i="2" l="1"/>
  <c r="T29" i="2" s="1"/>
  <c r="N23" i="2" l="1"/>
  <c r="T23" i="2" s="1"/>
  <c r="D23" i="2"/>
  <c r="N22" i="2" l="1"/>
  <c r="T22" i="2" s="1"/>
  <c r="D22" i="2"/>
  <c r="N21" i="2"/>
  <c r="T21" i="2" s="1"/>
  <c r="D21" i="2"/>
  <c r="Y4" i="10" l="1"/>
  <c r="AA11" i="10"/>
  <c r="O11" i="10" s="1"/>
  <c r="AA9" i="10"/>
  <c r="O9" i="10" s="1"/>
  <c r="N9" i="10" s="1"/>
  <c r="V27" i="2" s="1"/>
  <c r="AB8" i="10"/>
  <c r="O8" i="10" s="1"/>
  <c r="N8" i="10" s="1"/>
  <c r="V46" i="2" s="1"/>
  <c r="AB7" i="10"/>
  <c r="O7" i="10" s="1"/>
  <c r="Z6" i="10"/>
  <c r="Z4" i="10"/>
  <c r="Z5" i="10" s="1"/>
  <c r="O19" i="10" s="1"/>
  <c r="Y6" i="10"/>
  <c r="O6" i="10" s="1"/>
  <c r="N11" i="10" l="1"/>
  <c r="J6" i="10"/>
  <c r="J4" i="10"/>
  <c r="O18" i="10"/>
  <c r="J19" i="10"/>
  <c r="J18" i="10"/>
  <c r="V16" i="2"/>
  <c r="V4" i="2"/>
  <c r="V7" i="2"/>
  <c r="AA7" i="2" s="1"/>
  <c r="V15" i="2"/>
  <c r="V23" i="2"/>
  <c r="V31" i="2"/>
  <c r="V35" i="2"/>
  <c r="V12" i="2"/>
  <c r="V20" i="2"/>
  <c r="V33" i="2"/>
  <c r="V18" i="2"/>
  <c r="O4" i="10"/>
  <c r="J5" i="10"/>
  <c r="L5" i="10" s="1"/>
  <c r="O5" i="10"/>
  <c r="O16" i="10"/>
  <c r="N7" i="10"/>
  <c r="O15" i="10"/>
  <c r="N6" i="10"/>
  <c r="V45" i="2" s="1"/>
  <c r="D25" i="2"/>
  <c r="N25" i="2"/>
  <c r="T25" i="2" s="1"/>
  <c r="N18" i="2"/>
  <c r="T18" i="2" s="1"/>
  <c r="N5" i="10" l="1"/>
  <c r="V42" i="2" s="1"/>
  <c r="N19" i="10"/>
  <c r="V28" i="2" s="1"/>
  <c r="V25" i="2"/>
  <c r="V44" i="2"/>
  <c r="O13" i="10"/>
  <c r="N18" i="10"/>
  <c r="V10" i="2"/>
  <c r="V39" i="2"/>
  <c r="V26" i="2"/>
  <c r="V14" i="2"/>
  <c r="AA4" i="2"/>
  <c r="J15" i="10"/>
  <c r="N15" i="10"/>
  <c r="J16" i="10"/>
  <c r="N16" i="10"/>
  <c r="N4" i="10"/>
  <c r="O14" i="10"/>
  <c r="D36" i="2"/>
  <c r="D37" i="2"/>
  <c r="D38" i="2"/>
  <c r="D39" i="2"/>
  <c r="D40" i="2"/>
  <c r="D41" i="2"/>
  <c r="D42" i="2"/>
  <c r="D43" i="2"/>
  <c r="D44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V43" i="2" l="1"/>
  <c r="V48" i="2"/>
  <c r="V52" i="2"/>
  <c r="V56" i="2"/>
  <c r="V60" i="2"/>
  <c r="V6" i="2"/>
  <c r="AA6" i="2" s="1"/>
  <c r="V19" i="2"/>
  <c r="V36" i="2"/>
  <c r="V40" i="2"/>
  <c r="V49" i="2"/>
  <c r="V53" i="2"/>
  <c r="V57" i="2"/>
  <c r="V61" i="2"/>
  <c r="V21" i="2"/>
  <c r="V30" i="2"/>
  <c r="V41" i="2"/>
  <c r="V50" i="2"/>
  <c r="V54" i="2"/>
  <c r="V58" i="2"/>
  <c r="V62" i="2"/>
  <c r="V9" i="2"/>
  <c r="AA9" i="2" s="1"/>
  <c r="V22" i="2"/>
  <c r="V38" i="2"/>
  <c r="V47" i="2"/>
  <c r="V51" i="2"/>
  <c r="V55" i="2"/>
  <c r="V59" i="2"/>
  <c r="V63" i="2"/>
  <c r="N13" i="10"/>
  <c r="J13" i="10"/>
  <c r="J14" i="10"/>
  <c r="N14" i="10"/>
  <c r="N16" i="2"/>
  <c r="T16" i="2" s="1"/>
  <c r="D16" i="2"/>
  <c r="V5" i="2" l="1"/>
  <c r="V34" i="2"/>
  <c r="V32" i="2"/>
  <c r="D7" i="2"/>
  <c r="AA5" i="2" l="1"/>
  <c r="N8" i="2"/>
  <c r="T8" i="2" s="1"/>
  <c r="N9" i="2"/>
  <c r="T9" i="2" s="1"/>
  <c r="D9" i="2"/>
  <c r="N10" i="2"/>
  <c r="T10" i="2" s="1"/>
  <c r="D29" i="2" l="1"/>
  <c r="N44" i="2" l="1"/>
  <c r="T44" i="2" s="1"/>
  <c r="N46" i="2"/>
  <c r="T46" i="2" s="1"/>
  <c r="N47" i="2"/>
  <c r="T47" i="2" s="1"/>
  <c r="N48" i="2"/>
  <c r="T48" i="2" s="1"/>
  <c r="N49" i="2"/>
  <c r="T49" i="2" s="1"/>
  <c r="N50" i="2"/>
  <c r="T50" i="2" s="1"/>
  <c r="N51" i="2"/>
  <c r="T51" i="2" s="1"/>
  <c r="N52" i="2"/>
  <c r="T52" i="2" s="1"/>
  <c r="N53" i="2"/>
  <c r="T53" i="2" s="1"/>
  <c r="N54" i="2"/>
  <c r="T54" i="2" s="1"/>
  <c r="N55" i="2"/>
  <c r="T55" i="2" s="1"/>
  <c r="N56" i="2"/>
  <c r="T56" i="2" s="1"/>
  <c r="N57" i="2"/>
  <c r="T57" i="2" s="1"/>
  <c r="N58" i="2"/>
  <c r="T58" i="2" s="1"/>
  <c r="N59" i="2"/>
  <c r="T59" i="2" s="1"/>
  <c r="N60" i="2"/>
  <c r="T60" i="2" s="1"/>
  <c r="N61" i="2"/>
  <c r="T61" i="2" s="1"/>
  <c r="N62" i="2"/>
  <c r="T62" i="2" s="1"/>
  <c r="N63" i="2"/>
  <c r="T63" i="2" s="1"/>
  <c r="N39" i="2" l="1"/>
  <c r="T39" i="2" s="1"/>
  <c r="N38" i="2" l="1"/>
  <c r="T38" i="2" s="1"/>
  <c r="N37" i="2" l="1"/>
  <c r="T37" i="2" s="1"/>
  <c r="N36" i="2" l="1"/>
  <c r="T36" i="2" s="1"/>
  <c r="I9" i="10" l="1"/>
  <c r="U27" i="2" s="1"/>
  <c r="U31" i="2" l="1"/>
  <c r="U7" i="2"/>
  <c r="U16" i="2"/>
  <c r="U33" i="2"/>
  <c r="U18" i="2"/>
  <c r="U15" i="2"/>
  <c r="U23" i="2"/>
  <c r="U12" i="2"/>
  <c r="AA12" i="2" s="1"/>
  <c r="U20" i="2"/>
  <c r="U4" i="2"/>
  <c r="U35" i="2"/>
  <c r="N41" i="2"/>
  <c r="T41" i="2" s="1"/>
  <c r="D18" i="2" l="1"/>
  <c r="N17" i="2"/>
  <c r="T17" i="2" s="1"/>
  <c r="D17" i="2"/>
  <c r="N15" i="2"/>
  <c r="T15" i="2" s="1"/>
  <c r="D15" i="2"/>
  <c r="N14" i="2"/>
  <c r="T14" i="2" s="1"/>
  <c r="D14" i="2"/>
  <c r="N13" i="2"/>
  <c r="T13" i="2" s="1"/>
  <c r="D13" i="2"/>
  <c r="N12" i="2"/>
  <c r="T12" i="2" s="1"/>
  <c r="D12" i="2"/>
  <c r="N11" i="2"/>
  <c r="T11" i="2" s="1"/>
  <c r="D11" i="2"/>
  <c r="D10" i="2"/>
  <c r="D8" i="2"/>
  <c r="N7" i="2"/>
  <c r="T7" i="2" s="1"/>
  <c r="N6" i="2"/>
  <c r="D6" i="2"/>
  <c r="N5" i="2"/>
  <c r="T5" i="2" s="1"/>
  <c r="D5" i="2"/>
  <c r="N4" i="2"/>
  <c r="T4" i="2" s="1"/>
  <c r="D4" i="2"/>
  <c r="T6" i="2" l="1"/>
  <c r="I6" i="13"/>
  <c r="F6" i="13"/>
  <c r="G6" i="13"/>
  <c r="H6" i="13"/>
  <c r="S7" i="2"/>
  <c r="N34" i="2"/>
  <c r="T34" i="2" s="1"/>
  <c r="D34" i="2"/>
  <c r="N33" i="2"/>
  <c r="T33" i="2" s="1"/>
  <c r="D33" i="2"/>
  <c r="S8" i="2" l="1"/>
  <c r="N7" i="8"/>
  <c r="S9" i="2" l="1"/>
  <c r="N40" i="2"/>
  <c r="T40" i="2" s="1"/>
  <c r="S10" i="2" l="1"/>
  <c r="N35" i="2"/>
  <c r="T35" i="2" s="1"/>
  <c r="N32" i="2"/>
  <c r="T32" i="2" s="1"/>
  <c r="N31" i="2"/>
  <c r="T31" i="2" s="1"/>
  <c r="S11" i="2" l="1"/>
  <c r="C87" i="2"/>
  <c r="C79" i="2"/>
  <c r="N86" i="2"/>
  <c r="M86" i="2"/>
  <c r="L86" i="2"/>
  <c r="K86" i="2"/>
  <c r="N85" i="2"/>
  <c r="M85" i="2"/>
  <c r="L85" i="2"/>
  <c r="K85" i="2"/>
  <c r="N69" i="2"/>
  <c r="M69" i="2"/>
  <c r="L69" i="2"/>
  <c r="S12" i="2" l="1"/>
  <c r="O85" i="2"/>
  <c r="O86" i="2"/>
  <c r="S13" i="2" l="1"/>
  <c r="O87" i="2"/>
  <c r="O88" i="2" s="1"/>
  <c r="N70" i="2"/>
  <c r="M70" i="2"/>
  <c r="L70" i="2"/>
  <c r="C71" i="2"/>
  <c r="S14" i="2" l="1"/>
  <c r="D35" i="2"/>
  <c r="D32" i="2"/>
  <c r="D31" i="2"/>
  <c r="S15" i="2" l="1"/>
  <c r="F12" i="10"/>
  <c r="G12" i="10" s="1"/>
  <c r="F7" i="10"/>
  <c r="G7" i="10" s="1"/>
  <c r="F8" i="10"/>
  <c r="G8" i="10" s="1"/>
  <c r="F9" i="10"/>
  <c r="G9" i="10" s="1"/>
  <c r="F11" i="10"/>
  <c r="G11" i="10" s="1"/>
  <c r="F6" i="10"/>
  <c r="G6" i="10" s="1"/>
  <c r="F4" i="10"/>
  <c r="G4" i="10" s="1"/>
  <c r="S16" i="2" l="1"/>
  <c r="I12" i="10"/>
  <c r="I21" i="10" s="1"/>
  <c r="I11" i="10"/>
  <c r="I8" i="10"/>
  <c r="U46" i="2" s="1"/>
  <c r="I7" i="10"/>
  <c r="U24" i="2" l="1"/>
  <c r="U37" i="2"/>
  <c r="U8" i="2"/>
  <c r="U26" i="2"/>
  <c r="U14" i="2"/>
  <c r="U10" i="2"/>
  <c r="AA10" i="2" s="1"/>
  <c r="U39" i="2"/>
  <c r="I23" i="10"/>
  <c r="U13" i="2" s="1"/>
  <c r="I22" i="10"/>
  <c r="U44" i="2"/>
  <c r="U25" i="2"/>
  <c r="S17" i="2"/>
  <c r="I16" i="10"/>
  <c r="I14" i="10"/>
  <c r="I13" i="10"/>
  <c r="I15" i="10"/>
  <c r="AA12" i="10"/>
  <c r="J11" i="10"/>
  <c r="J9" i="10"/>
  <c r="J8" i="10"/>
  <c r="J7" i="10"/>
  <c r="U17" i="2" l="1"/>
  <c r="U11" i="2"/>
  <c r="U34" i="2"/>
  <c r="U32" i="2"/>
  <c r="U5" i="2"/>
  <c r="S18" i="2"/>
  <c r="J12" i="10"/>
  <c r="J21" i="10" s="1"/>
  <c r="O12" i="10"/>
  <c r="AA11" i="2" l="1"/>
  <c r="G12" i="13"/>
  <c r="G9" i="13"/>
  <c r="G10" i="13" s="1"/>
  <c r="N12" i="10"/>
  <c r="O21" i="10"/>
  <c r="N21" i="10" s="1"/>
  <c r="O22" i="10"/>
  <c r="N22" i="10" s="1"/>
  <c r="O23" i="10"/>
  <c r="N23" i="10" s="1"/>
  <c r="V13" i="2" s="1"/>
  <c r="J22" i="10"/>
  <c r="J23" i="10"/>
  <c r="S19" i="2"/>
  <c r="N20" i="2"/>
  <c r="T20" i="2" s="1"/>
  <c r="N19" i="2"/>
  <c r="T19" i="2" s="1"/>
  <c r="V17" i="2" l="1"/>
  <c r="V11" i="2"/>
  <c r="V24" i="2"/>
  <c r="V8" i="2"/>
  <c r="V37" i="2"/>
  <c r="S20" i="2"/>
  <c r="Y19" i="2"/>
  <c r="Z19" i="2" s="1"/>
  <c r="H9" i="13" l="1"/>
  <c r="H10" i="13" s="1"/>
  <c r="H12" i="13"/>
  <c r="H13" i="13" s="1"/>
  <c r="AA8" i="2"/>
  <c r="S21" i="2"/>
  <c r="D19" i="2"/>
  <c r="H15" i="13" l="1"/>
  <c r="H7" i="13"/>
  <c r="S22" i="2"/>
  <c r="D20" i="2"/>
  <c r="S23" i="2" l="1"/>
  <c r="I29" i="8"/>
  <c r="H29" i="8"/>
  <c r="G29" i="8"/>
  <c r="F29" i="8"/>
  <c r="J29" i="8" s="1"/>
  <c r="I28" i="8"/>
  <c r="H28" i="8"/>
  <c r="G28" i="8"/>
  <c r="F28" i="8"/>
  <c r="J28" i="8" s="1"/>
  <c r="I21" i="8"/>
  <c r="H21" i="8"/>
  <c r="G21" i="8"/>
  <c r="F21" i="8"/>
  <c r="I20" i="8"/>
  <c r="H20" i="8"/>
  <c r="G20" i="8"/>
  <c r="F20" i="8"/>
  <c r="J20" i="8" s="1"/>
  <c r="S24" i="2" l="1"/>
  <c r="J30" i="8"/>
  <c r="J31" i="8" s="1"/>
  <c r="J21" i="8"/>
  <c r="J22" i="8" s="1"/>
  <c r="J23" i="8" s="1"/>
  <c r="F13" i="8"/>
  <c r="G13" i="8"/>
  <c r="J13" i="8"/>
  <c r="C13" i="8"/>
  <c r="D12" i="8"/>
  <c r="D11" i="8"/>
  <c r="I12" i="8"/>
  <c r="I11" i="8"/>
  <c r="I13" i="8" s="1"/>
  <c r="S25" i="2" l="1"/>
  <c r="D13" i="8"/>
  <c r="M7" i="8"/>
  <c r="L7" i="8"/>
  <c r="K7" i="8"/>
  <c r="I7" i="8"/>
  <c r="J7" i="8" s="1"/>
  <c r="F7" i="8"/>
  <c r="G7" i="8" s="1"/>
  <c r="G6" i="8"/>
  <c r="G5" i="8"/>
  <c r="C7" i="8"/>
  <c r="D6" i="8"/>
  <c r="J6" i="8"/>
  <c r="J5" i="8"/>
  <c r="D5" i="8"/>
  <c r="S26" i="2" l="1"/>
  <c r="C14" i="8"/>
  <c r="O5" i="8"/>
  <c r="M11" i="8"/>
  <c r="D7" i="8"/>
  <c r="I14" i="8"/>
  <c r="L14" i="8"/>
  <c r="O14" i="8"/>
  <c r="N78" i="2"/>
  <c r="M78" i="2"/>
  <c r="L78" i="2"/>
  <c r="K78" i="2"/>
  <c r="N77" i="2"/>
  <c r="M77" i="2"/>
  <c r="L77" i="2"/>
  <c r="K77" i="2"/>
  <c r="S27" i="2" l="1"/>
  <c r="O77" i="2"/>
  <c r="O78" i="2"/>
  <c r="D7" i="5"/>
  <c r="S28" i="2" l="1"/>
  <c r="O79" i="2"/>
  <c r="O80" i="2" s="1"/>
  <c r="S29" i="2" l="1"/>
  <c r="N43" i="2"/>
  <c r="T43" i="2" s="1"/>
  <c r="E29" i="5"/>
  <c r="S30" i="2" l="1"/>
  <c r="F29" i="5"/>
  <c r="S31" i="2" l="1"/>
  <c r="K70" i="2"/>
  <c r="K69" i="2"/>
  <c r="S32" i="2" l="1"/>
  <c r="O69" i="2"/>
  <c r="O70" i="2"/>
  <c r="S33" i="2" l="1"/>
  <c r="O71" i="2"/>
  <c r="O72" i="2" s="1"/>
  <c r="N42" i="2"/>
  <c r="T42" i="2" s="1"/>
  <c r="S34" i="2" l="1"/>
  <c r="Y42" i="2"/>
  <c r="Z42" i="2" s="1"/>
  <c r="S35" i="2" l="1"/>
  <c r="N30" i="2"/>
  <c r="T30" i="2" s="1"/>
  <c r="N28" i="2"/>
  <c r="T28" i="2" s="1"/>
  <c r="N27" i="2"/>
  <c r="T27" i="2" s="1"/>
  <c r="N26" i="2"/>
  <c r="T26" i="2" s="1"/>
  <c r="S36" i="2" l="1"/>
  <c r="D24" i="2"/>
  <c r="S37" i="2" l="1"/>
  <c r="D26" i="2"/>
  <c r="D27" i="2"/>
  <c r="D28" i="2"/>
  <c r="D30" i="2"/>
  <c r="S38" i="2" l="1"/>
  <c r="N24" i="2"/>
  <c r="F10" i="13" l="1"/>
  <c r="T24" i="2"/>
  <c r="S39" i="2"/>
  <c r="F13" i="13"/>
  <c r="F30" i="5"/>
  <c r="S40" i="2" l="1"/>
  <c r="F15" i="13"/>
  <c r="F7" i="13"/>
  <c r="F33" i="5"/>
  <c r="H33" i="5" s="1"/>
  <c r="F32" i="5"/>
  <c r="H32" i="5" s="1"/>
  <c r="H30" i="5"/>
  <c r="F31" i="5"/>
  <c r="H31" i="5" s="1"/>
  <c r="S41" i="2" l="1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6" i="3"/>
  <c r="M5" i="3"/>
  <c r="S42" i="2" l="1"/>
  <c r="N4" i="3"/>
  <c r="N5" i="3" s="1"/>
  <c r="S43" i="2" l="1"/>
  <c r="O4" i="3"/>
  <c r="I15" i="3"/>
  <c r="I39" i="3"/>
  <c r="S44" i="2" l="1"/>
  <c r="O5" i="3"/>
  <c r="P4" i="3"/>
  <c r="S45" i="2" l="1"/>
  <c r="Q4" i="3"/>
  <c r="P5" i="3"/>
  <c r="H29" i="5"/>
  <c r="K15" i="5" a="1"/>
  <c r="K22" i="5" s="1"/>
  <c r="AL5" i="4" a="1"/>
  <c r="AL5" i="4" s="1"/>
  <c r="AI5" i="4" a="1"/>
  <c r="AI5" i="4" s="1"/>
  <c r="A6" i="4"/>
  <c r="A7" i="4" s="1"/>
  <c r="A8" i="4" s="1"/>
  <c r="A9" i="4" s="1"/>
  <c r="A10" i="4" s="1"/>
  <c r="A11" i="4" s="1"/>
  <c r="A12" i="4" s="1"/>
  <c r="A13" i="4" s="1"/>
  <c r="E4" i="4"/>
  <c r="F4" i="4" s="1"/>
  <c r="G4" i="4" s="1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U4" i="4" s="1"/>
  <c r="V4" i="4" s="1"/>
  <c r="W4" i="4" s="1"/>
  <c r="X4" i="4" s="1"/>
  <c r="Y4" i="4" s="1"/>
  <c r="Z4" i="4" s="1"/>
  <c r="AA4" i="4" s="1"/>
  <c r="AB4" i="4" s="1"/>
  <c r="AC4" i="4" s="1"/>
  <c r="AD4" i="4" s="1"/>
  <c r="AE4" i="4" s="1"/>
  <c r="AF4" i="4" s="1"/>
  <c r="AG4" i="4" s="1"/>
  <c r="AH4" i="4" s="1"/>
  <c r="S46" i="2" l="1"/>
  <c r="R4" i="3"/>
  <c r="Q5" i="3"/>
  <c r="K15" i="5"/>
  <c r="K23" i="5"/>
  <c r="K19" i="5"/>
  <c r="K16" i="5"/>
  <c r="K20" i="5"/>
  <c r="K17" i="5"/>
  <c r="K21" i="5"/>
  <c r="K18" i="5"/>
  <c r="AL10" i="4"/>
  <c r="AL12" i="4"/>
  <c r="AL8" i="4"/>
  <c r="AL11" i="4"/>
  <c r="AL7" i="4"/>
  <c r="AL6" i="4"/>
  <c r="AL13" i="4"/>
  <c r="AL9" i="4"/>
  <c r="AK12" i="4"/>
  <c r="AJ11" i="4"/>
  <c r="AI10" i="4"/>
  <c r="AK8" i="4"/>
  <c r="AJ7" i="4"/>
  <c r="AI6" i="4"/>
  <c r="AK13" i="4"/>
  <c r="AJ12" i="4"/>
  <c r="AI11" i="4"/>
  <c r="AK9" i="4"/>
  <c r="AJ8" i="4"/>
  <c r="AI7" i="4"/>
  <c r="AK5" i="4"/>
  <c r="AJ13" i="4"/>
  <c r="AI12" i="4"/>
  <c r="AK10" i="4"/>
  <c r="AJ9" i="4"/>
  <c r="AI8" i="4"/>
  <c r="AK6" i="4"/>
  <c r="AJ5" i="4"/>
  <c r="AI13" i="4"/>
  <c r="AK11" i="4"/>
  <c r="AJ10" i="4"/>
  <c r="AI9" i="4"/>
  <c r="AK7" i="4"/>
  <c r="AJ6" i="4"/>
  <c r="I46" i="3"/>
  <c r="I45" i="3"/>
  <c r="I44" i="3"/>
  <c r="I43" i="3"/>
  <c r="I42" i="3"/>
  <c r="I41" i="3"/>
  <c r="I40" i="3"/>
  <c r="I38" i="3"/>
  <c r="C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C17" i="3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I16" i="3"/>
  <c r="I14" i="3"/>
  <c r="I13" i="3"/>
  <c r="I12" i="3"/>
  <c r="I11" i="3"/>
  <c r="H11" i="10" s="1"/>
  <c r="I10" i="3"/>
  <c r="I9" i="3"/>
  <c r="I8" i="3"/>
  <c r="I7" i="3"/>
  <c r="H6" i="10" s="1"/>
  <c r="X45" i="2" s="1"/>
  <c r="Y45" i="2" s="1"/>
  <c r="Z45" i="2" s="1"/>
  <c r="C7" i="3"/>
  <c r="C8" i="3" s="1"/>
  <c r="C9" i="3" s="1"/>
  <c r="C10" i="3" s="1"/>
  <c r="C11" i="3" s="1"/>
  <c r="C12" i="3" s="1"/>
  <c r="C13" i="3" s="1"/>
  <c r="C14" i="3" s="1"/>
  <c r="C15" i="3" s="1"/>
  <c r="I6" i="3"/>
  <c r="X10" i="2" l="1"/>
  <c r="X29" i="2"/>
  <c r="Y29" i="2" s="1"/>
  <c r="Z29" i="2" s="1"/>
  <c r="X26" i="2"/>
  <c r="X14" i="2"/>
  <c r="X39" i="2"/>
  <c r="L11" i="10"/>
  <c r="L6" i="10"/>
  <c r="H7" i="10"/>
  <c r="H12" i="10"/>
  <c r="L12" i="10" s="1"/>
  <c r="H4" i="10"/>
  <c r="H8" i="10"/>
  <c r="X46" i="2" s="1"/>
  <c r="H9" i="10"/>
  <c r="X27" i="2" s="1"/>
  <c r="S4" i="3"/>
  <c r="R5" i="3"/>
  <c r="C39" i="3"/>
  <c r="C40" i="3" s="1"/>
  <c r="C41" i="3" s="1"/>
  <c r="C42" i="3" s="1"/>
  <c r="C43" i="3" s="1"/>
  <c r="C44" i="3" s="1"/>
  <c r="C45" i="3" s="1"/>
  <c r="C46" i="3" s="1"/>
  <c r="AM5" i="4" a="1"/>
  <c r="X25" i="2" l="1"/>
  <c r="Y25" i="2" s="1"/>
  <c r="Z25" i="2" s="1"/>
  <c r="X44" i="2"/>
  <c r="Y44" i="2" s="1"/>
  <c r="Z44" i="2" s="1"/>
  <c r="H23" i="10"/>
  <c r="X13" i="2" s="1"/>
  <c r="H22" i="10"/>
  <c r="X36" i="2"/>
  <c r="Y36" i="2" s="1"/>
  <c r="Z36" i="2" s="1"/>
  <c r="X40" i="2"/>
  <c r="Y40" i="2" s="1"/>
  <c r="Z40" i="2" s="1"/>
  <c r="X49" i="2"/>
  <c r="Y49" i="2" s="1"/>
  <c r="Z49" i="2" s="1"/>
  <c r="X53" i="2"/>
  <c r="Y53" i="2" s="1"/>
  <c r="Z53" i="2" s="1"/>
  <c r="X57" i="2"/>
  <c r="Y57" i="2" s="1"/>
  <c r="Z57" i="2" s="1"/>
  <c r="X61" i="2"/>
  <c r="Y61" i="2" s="1"/>
  <c r="Z61" i="2" s="1"/>
  <c r="X6" i="2"/>
  <c r="X21" i="2"/>
  <c r="Y21" i="2" s="1"/>
  <c r="Z21" i="2" s="1"/>
  <c r="X30" i="2"/>
  <c r="Y30" i="2" s="1"/>
  <c r="Z30" i="2" s="1"/>
  <c r="X41" i="2"/>
  <c r="Y41" i="2" s="1"/>
  <c r="Z41" i="2" s="1"/>
  <c r="X50" i="2"/>
  <c r="X54" i="2"/>
  <c r="Y54" i="2" s="1"/>
  <c r="Z54" i="2" s="1"/>
  <c r="X58" i="2"/>
  <c r="Y58" i="2" s="1"/>
  <c r="Z58" i="2" s="1"/>
  <c r="X62" i="2"/>
  <c r="Y62" i="2" s="1"/>
  <c r="Z62" i="2" s="1"/>
  <c r="X22" i="2"/>
  <c r="Y22" i="2" s="1"/>
  <c r="Z22" i="2" s="1"/>
  <c r="X38" i="2"/>
  <c r="Y38" i="2" s="1"/>
  <c r="Z38" i="2" s="1"/>
  <c r="X47" i="2"/>
  <c r="Y47" i="2" s="1"/>
  <c r="Z47" i="2" s="1"/>
  <c r="X51" i="2"/>
  <c r="Y51" i="2" s="1"/>
  <c r="Z51" i="2" s="1"/>
  <c r="X55" i="2"/>
  <c r="Y55" i="2" s="1"/>
  <c r="Z55" i="2" s="1"/>
  <c r="X59" i="2"/>
  <c r="Y59" i="2" s="1"/>
  <c r="Z59" i="2" s="1"/>
  <c r="X63" i="2"/>
  <c r="Y63" i="2" s="1"/>
  <c r="Z63" i="2" s="1"/>
  <c r="X9" i="2"/>
  <c r="Y9" i="2" s="1"/>
  <c r="Z9" i="2" s="1"/>
  <c r="X43" i="2"/>
  <c r="Y43" i="2" s="1"/>
  <c r="Z43" i="2" s="1"/>
  <c r="X48" i="2"/>
  <c r="Y48" i="2" s="1"/>
  <c r="Z48" i="2" s="1"/>
  <c r="X52" i="2"/>
  <c r="Y52" i="2" s="1"/>
  <c r="Z52" i="2" s="1"/>
  <c r="X56" i="2"/>
  <c r="Y56" i="2" s="1"/>
  <c r="Z56" i="2" s="1"/>
  <c r="X60" i="2"/>
  <c r="Y60" i="2" s="1"/>
  <c r="Z60" i="2" s="1"/>
  <c r="X19" i="2"/>
  <c r="X23" i="2"/>
  <c r="Y23" i="2" s="1"/>
  <c r="Z23" i="2" s="1"/>
  <c r="X31" i="2"/>
  <c r="Y31" i="2" s="1"/>
  <c r="Z31" i="2" s="1"/>
  <c r="X12" i="2"/>
  <c r="X16" i="2"/>
  <c r="X33" i="2"/>
  <c r="Y33" i="2" s="1"/>
  <c r="Z33" i="2" s="1"/>
  <c r="X18" i="2"/>
  <c r="X35" i="2"/>
  <c r="Y35" i="2" s="1"/>
  <c r="Z35" i="2" s="1"/>
  <c r="X7" i="2"/>
  <c r="X15" i="2"/>
  <c r="X20" i="2"/>
  <c r="Y20" i="2" s="1"/>
  <c r="Z20" i="2" s="1"/>
  <c r="X4" i="2"/>
  <c r="L8" i="10"/>
  <c r="Y18" i="2"/>
  <c r="Z18" i="2" s="1"/>
  <c r="H21" i="10"/>
  <c r="Y28" i="2"/>
  <c r="Z28" i="2" s="1"/>
  <c r="Y27" i="2"/>
  <c r="Z27" i="2" s="1"/>
  <c r="L9" i="10"/>
  <c r="L7" i="10"/>
  <c r="H16" i="10"/>
  <c r="L4" i="10"/>
  <c r="H14" i="10"/>
  <c r="H13" i="10"/>
  <c r="Y26" i="2" s="1"/>
  <c r="Z26" i="2" s="1"/>
  <c r="H15" i="10"/>
  <c r="T4" i="3"/>
  <c r="S5" i="3"/>
  <c r="AM5" i="4"/>
  <c r="AM7" i="4"/>
  <c r="AM13" i="4"/>
  <c r="AM10" i="4"/>
  <c r="AM9" i="4"/>
  <c r="AM12" i="4"/>
  <c r="AM6" i="4"/>
  <c r="AM11" i="4"/>
  <c r="AM8" i="4"/>
  <c r="F39" i="5"/>
  <c r="E39" i="5"/>
  <c r="X17" i="2" l="1"/>
  <c r="Y17" i="2" s="1"/>
  <c r="Z17" i="2" s="1"/>
  <c r="X11" i="2"/>
  <c r="X5" i="2"/>
  <c r="X32" i="2"/>
  <c r="Y32" i="2" s="1"/>
  <c r="Z32" i="2" s="1"/>
  <c r="X34" i="2"/>
  <c r="Y34" i="2" s="1"/>
  <c r="Z34" i="2" s="1"/>
  <c r="X37" i="2"/>
  <c r="Y37" i="2" s="1"/>
  <c r="Z37" i="2" s="1"/>
  <c r="X8" i="2"/>
  <c r="X24" i="2"/>
  <c r="Y24" i="2" s="1"/>
  <c r="Z24" i="2" s="1"/>
  <c r="Y13" i="2"/>
  <c r="Z13" i="2" s="1"/>
  <c r="Y7" i="2"/>
  <c r="Z7" i="2" s="1"/>
  <c r="Y15" i="2"/>
  <c r="Z15" i="2" s="1"/>
  <c r="Y16" i="2"/>
  <c r="Z16" i="2" s="1"/>
  <c r="Y10" i="2"/>
  <c r="Z10" i="2" s="1"/>
  <c r="Y12" i="2"/>
  <c r="Z12" i="2" s="1"/>
  <c r="Y14" i="2"/>
  <c r="Z14" i="2" s="1"/>
  <c r="Y6" i="2"/>
  <c r="Z6" i="2" s="1"/>
  <c r="R9" i="4"/>
  <c r="S9" i="4"/>
  <c r="P9" i="4"/>
  <c r="T9" i="4"/>
  <c r="Q9" i="4"/>
  <c r="P11" i="4"/>
  <c r="T11" i="4"/>
  <c r="Q11" i="4"/>
  <c r="S11" i="4"/>
  <c r="R11" i="4"/>
  <c r="Q6" i="4"/>
  <c r="R6" i="4"/>
  <c r="S6" i="4"/>
  <c r="P6" i="4"/>
  <c r="T6" i="4"/>
  <c r="R13" i="4"/>
  <c r="S13" i="4"/>
  <c r="T13" i="4"/>
  <c r="P13" i="4"/>
  <c r="Q13" i="4"/>
  <c r="S8" i="4"/>
  <c r="P8" i="4"/>
  <c r="T8" i="4"/>
  <c r="R8" i="4"/>
  <c r="Q8" i="4"/>
  <c r="Y50" i="2"/>
  <c r="Z50" i="2" s="1"/>
  <c r="Y46" i="2"/>
  <c r="Z46" i="2" s="1"/>
  <c r="S5" i="4"/>
  <c r="R5" i="4"/>
  <c r="P5" i="4"/>
  <c r="Q5" i="4"/>
  <c r="T5" i="4"/>
  <c r="Q10" i="4"/>
  <c r="R10" i="4"/>
  <c r="S10" i="4"/>
  <c r="P10" i="4"/>
  <c r="T10" i="4"/>
  <c r="S12" i="4"/>
  <c r="P12" i="4"/>
  <c r="T12" i="4"/>
  <c r="Q12" i="4"/>
  <c r="R12" i="4"/>
  <c r="P7" i="4"/>
  <c r="T7" i="4"/>
  <c r="Q7" i="4"/>
  <c r="R7" i="4"/>
  <c r="S7" i="4"/>
  <c r="U4" i="3"/>
  <c r="T5" i="3"/>
  <c r="Y11" i="2" l="1"/>
  <c r="Z11" i="2" s="1"/>
  <c r="I12" i="13"/>
  <c r="I13" i="13" s="1"/>
  <c r="I9" i="13"/>
  <c r="Y8" i="2"/>
  <c r="Z8" i="2" s="1"/>
  <c r="G13" i="13"/>
  <c r="Y5" i="2"/>
  <c r="Z5" i="2" s="1"/>
  <c r="Y4" i="2"/>
  <c r="Z4" i="2" s="1"/>
  <c r="S47" i="2"/>
  <c r="AN5" i="4"/>
  <c r="AN13" i="4"/>
  <c r="AN9" i="4"/>
  <c r="AN11" i="4"/>
  <c r="AN7" i="4"/>
  <c r="AN6" i="4"/>
  <c r="AN10" i="4"/>
  <c r="V4" i="3"/>
  <c r="U5" i="3"/>
  <c r="AN12" i="4"/>
  <c r="AN8" i="4"/>
  <c r="I15" i="13" l="1"/>
  <c r="I10" i="13"/>
  <c r="J9" i="13"/>
  <c r="I7" i="13"/>
  <c r="G15" i="13"/>
  <c r="J12" i="13"/>
  <c r="J14" i="13" s="1"/>
  <c r="G7" i="13"/>
  <c r="J6" i="13"/>
  <c r="K6" i="13" s="1"/>
  <c r="S48" i="2"/>
  <c r="E15" i="5" a="1"/>
  <c r="E20" i="5" s="1"/>
  <c r="W4" i="3"/>
  <c r="V5" i="3"/>
  <c r="K9" i="13" l="1"/>
  <c r="G11" i="13"/>
  <c r="H11" i="13"/>
  <c r="F11" i="13"/>
  <c r="I11" i="13"/>
  <c r="J7" i="13"/>
  <c r="J13" i="13"/>
  <c r="G14" i="13"/>
  <c r="I8" i="13"/>
  <c r="F8" i="13"/>
  <c r="H8" i="13"/>
  <c r="J15" i="13"/>
  <c r="K15" i="13" s="1"/>
  <c r="G8" i="13"/>
  <c r="H14" i="13"/>
  <c r="K12" i="13"/>
  <c r="F14" i="13"/>
  <c r="I14" i="13"/>
  <c r="S49" i="2"/>
  <c r="E17" i="5"/>
  <c r="J17" i="5" s="1"/>
  <c r="E19" i="5"/>
  <c r="I19" i="5" s="1"/>
  <c r="M19" i="5" s="1"/>
  <c r="E18" i="5"/>
  <c r="I18" i="5" s="1"/>
  <c r="M18" i="5" s="1"/>
  <c r="E23" i="5"/>
  <c r="J23" i="5" s="1"/>
  <c r="E22" i="5"/>
  <c r="I22" i="5" s="1"/>
  <c r="M22" i="5" s="1"/>
  <c r="E21" i="5"/>
  <c r="J21" i="5" s="1"/>
  <c r="E16" i="5"/>
  <c r="I16" i="5" s="1"/>
  <c r="M16" i="5" s="1"/>
  <c r="E15" i="5"/>
  <c r="I15" i="5" s="1"/>
  <c r="X4" i="3"/>
  <c r="W5" i="3"/>
  <c r="J20" i="5"/>
  <c r="I20" i="5"/>
  <c r="M20" i="5" s="1"/>
  <c r="J11" i="13" l="1"/>
  <c r="J8" i="13"/>
  <c r="J18" i="5"/>
  <c r="J19" i="5"/>
  <c r="I17" i="5"/>
  <c r="M17" i="5" s="1"/>
  <c r="J15" i="5"/>
  <c r="I23" i="5"/>
  <c r="M23" i="5" s="1"/>
  <c r="J16" i="5"/>
  <c r="I21" i="5"/>
  <c r="M21" i="5" s="1"/>
  <c r="J22" i="5"/>
  <c r="Y4" i="3"/>
  <c r="X5" i="3"/>
  <c r="E38" i="5"/>
  <c r="E40" i="5" s="1"/>
  <c r="M15" i="5"/>
  <c r="F38" i="5" s="1"/>
  <c r="F40" i="5" s="1"/>
  <c r="S50" i="2" l="1"/>
  <c r="D8" i="5"/>
  <c r="Z4" i="3"/>
  <c r="Y5" i="3"/>
  <c r="S51" i="2" l="1"/>
  <c r="AA4" i="3"/>
  <c r="Z5" i="3"/>
  <c r="S52" i="2" l="1"/>
  <c r="AB4" i="3"/>
  <c r="AA5" i="3"/>
  <c r="S53" i="2" l="1"/>
  <c r="AC4" i="3"/>
  <c r="AB5" i="3"/>
  <c r="S54" i="2" l="1"/>
  <c r="AD4" i="3"/>
  <c r="AC5" i="3"/>
  <c r="S55" i="2" l="1"/>
  <c r="AE4" i="3"/>
  <c r="AD5" i="3"/>
  <c r="AF4" i="3" l="1"/>
  <c r="AE5" i="3"/>
  <c r="AG4" i="3" l="1"/>
  <c r="AF5" i="3"/>
  <c r="AH4" i="3" l="1"/>
  <c r="AG5" i="3"/>
  <c r="S56" i="2" l="1"/>
  <c r="AI4" i="3"/>
  <c r="AH5" i="3"/>
  <c r="S57" i="2" l="1"/>
  <c r="AJ4" i="3"/>
  <c r="AI5" i="3"/>
  <c r="AK4" i="3" l="1"/>
  <c r="AJ5" i="3"/>
  <c r="S58" i="2" l="1"/>
  <c r="AL4" i="3"/>
  <c r="AK5" i="3"/>
  <c r="S59" i="2" l="1"/>
  <c r="AM4" i="3"/>
  <c r="AL5" i="3"/>
  <c r="S60" i="2" l="1"/>
  <c r="AN4" i="3"/>
  <c r="AM5" i="3"/>
  <c r="AO4" i="3" l="1"/>
  <c r="AN5" i="3"/>
  <c r="AP4" i="3" l="1"/>
  <c r="AO5" i="3"/>
  <c r="AQ4" i="3" l="1"/>
  <c r="AQ5" i="3" s="1"/>
  <c r="AP5" i="3"/>
  <c r="Y39" i="2"/>
  <c r="Z39" i="2" s="1"/>
  <c r="S61" i="2" l="1"/>
  <c r="S62" i="2" l="1"/>
  <c r="S63" i="2" l="1"/>
  <c r="H11" i="8" l="1"/>
  <c r="E11" i="8"/>
</calcChain>
</file>

<file path=xl/sharedStrings.xml><?xml version="1.0" encoding="utf-8"?>
<sst xmlns="http://schemas.openxmlformats.org/spreadsheetml/2006/main" count="1074" uniqueCount="449">
  <si>
    <t>LOẠI HÀNG</t>
  </si>
  <si>
    <t>TÊN HÀNG</t>
  </si>
  <si>
    <t>GHI CHÚ</t>
  </si>
  <si>
    <t>SỐ LƯỢNG</t>
  </si>
  <si>
    <t>NGÀY ĐỐT</t>
  </si>
  <si>
    <t>SẢN LƯỢNG</t>
  </si>
  <si>
    <t>THỜI GIAN VẬN HÀNH</t>
  </si>
  <si>
    <t>CHI PHÍ VẬN HÀNH</t>
  </si>
  <si>
    <t>DỰ KIẾN</t>
  </si>
  <si>
    <t>THỰC TẾ</t>
  </si>
  <si>
    <t>TỔNG</t>
  </si>
  <si>
    <t>ĐIỆN</t>
  </si>
  <si>
    <t>NHÂN CÔNG</t>
  </si>
  <si>
    <t>CƠ GIỚI</t>
  </si>
  <si>
    <t>KHẤU HAO</t>
  </si>
  <si>
    <t>Khung giờ</t>
  </si>
  <si>
    <t>Loại</t>
  </si>
  <si>
    <t>Số giờ</t>
  </si>
  <si>
    <t>Giá
(VNĐ)</t>
  </si>
  <si>
    <t>Từ</t>
  </si>
  <si>
    <t>Đến</t>
  </si>
  <si>
    <t>Cao điểm</t>
  </si>
  <si>
    <t>Bình thường</t>
  </si>
  <si>
    <t>Thấp điểm</t>
  </si>
  <si>
    <t>Giá điện</t>
  </si>
  <si>
    <t>ĐỊNH MỨC VẬT TƯ LÒ NUNG</t>
  </si>
  <si>
    <t>HOẠCH ĐỊNH</t>
  </si>
  <si>
    <t>SẢN LƯỢNG MỖI MẺ</t>
  </si>
  <si>
    <t>ĐVT</t>
  </si>
  <si>
    <t>QUY ĐỔI KG</t>
  </si>
  <si>
    <t>LÒ NUNG</t>
  </si>
  <si>
    <t>TẤN</t>
  </si>
  <si>
    <t>GIỜ</t>
  </si>
  <si>
    <t>TÊN THIẾT BỊ</t>
  </si>
  <si>
    <t>STT</t>
  </si>
  <si>
    <t>TÊN VẬT TƯ</t>
  </si>
  <si>
    <t>THÔNG TIN ĐỊNH MỨC</t>
  </si>
  <si>
    <t>LƯỢNG DÙNG/KG THÉP</t>
  </si>
  <si>
    <t>TUỔI THỌ</t>
  </si>
  <si>
    <t>SL DÙNG</t>
  </si>
  <si>
    <t>VẬT TƯ CHỊU LỬA</t>
  </si>
  <si>
    <t>Bông bảo ôn 7200x610x25</t>
  </si>
  <si>
    <t>Giờ</t>
  </si>
  <si>
    <t>Cuộn</t>
  </si>
  <si>
    <t>Bông bảo ôn khối 300x300x300</t>
  </si>
  <si>
    <t>Cục</t>
  </si>
  <si>
    <t>Tấm silic canxi 900x600x25</t>
  </si>
  <si>
    <t>Tấm</t>
  </si>
  <si>
    <t>Gach chịu nhiệt 230x342x65</t>
  </si>
  <si>
    <t>Viên</t>
  </si>
  <si>
    <t>Gạch vuông 230x114x260</t>
  </si>
  <si>
    <t>Gạch nặng 232x115x65</t>
  </si>
  <si>
    <t>Gạch nhẹ 230x114x65</t>
  </si>
  <si>
    <t>Vật liệu đúc</t>
  </si>
  <si>
    <t>Kg</t>
  </si>
  <si>
    <t>Đất sét chịu lửa</t>
  </si>
  <si>
    <t>VẬT TƯ ĐIỆN</t>
  </si>
  <si>
    <t>Băng keo điện 20 yard</t>
  </si>
  <si>
    <t>Cái</t>
  </si>
  <si>
    <t>Cảm biến nhiệt loại K WRN-332-600/450</t>
  </si>
  <si>
    <t>Cây</t>
  </si>
  <si>
    <t>Cảm biến nhiệt loại K WRN-332-500/350</t>
  </si>
  <si>
    <t>Bộ cảm biến điện tử CMSG-0-020</t>
  </si>
  <si>
    <t>Bộ</t>
  </si>
  <si>
    <t>Cầu chì RS95H 300A 500V</t>
  </si>
  <si>
    <t>Cầu chì Miro RS95H 500V-300A</t>
  </si>
  <si>
    <t>Bộ cung cấp nguồn điện NDR-240-24</t>
  </si>
  <si>
    <t>Dây điện chịu nhiệt amiang 1x95mm2</t>
  </si>
  <si>
    <t>Mét</t>
  </si>
  <si>
    <t>Tủ trung gian</t>
  </si>
  <si>
    <t>Mủ chụp cos PVC 95 - màu đỏ</t>
  </si>
  <si>
    <t>Mủ chụp cos PVC 95 - màu vàng</t>
  </si>
  <si>
    <t>Mủ chụp cos PVC 95 - màu lam</t>
  </si>
  <si>
    <t>Đầu cos 95-12</t>
  </si>
  <si>
    <t>Điện trở xe 台車电热  30x2mm</t>
  </si>
  <si>
    <t>Thanh chì 引線杆 500mm x phi 16</t>
  </si>
  <si>
    <t>Đầu cos bít 6x6</t>
  </si>
  <si>
    <t>Modun Simatic S7-200</t>
  </si>
  <si>
    <t>CB cóc 30A+ nắp chụp CB</t>
  </si>
  <si>
    <t>VẬT TƯ KHÁC</t>
  </si>
  <si>
    <t>Kim hàn tig 2,4mm</t>
  </si>
  <si>
    <t>Láp inox phi 16mm</t>
  </si>
  <si>
    <t>Ty ren M10x1000 mm  , Inox 304</t>
  </si>
  <si>
    <t>Đai ốc M10, Inox 304</t>
  </si>
  <si>
    <t>Hộp sin ( 270 chi tiết 18 size)</t>
  </si>
  <si>
    <t>Hộp</t>
  </si>
  <si>
    <t>Giấy nhám nước P280</t>
  </si>
  <si>
    <t>Tờ</t>
  </si>
  <si>
    <t>Silicon A300 màu trắng trong suốt</t>
  </si>
  <si>
    <t>Chai</t>
  </si>
  <si>
    <t>THÔNG TIN VẬT TƯ</t>
  </si>
  <si>
    <t>ĐỊNH MỨC</t>
  </si>
  <si>
    <t>TÊN</t>
  </si>
  <si>
    <t>BÁO CÁO THÁNG</t>
  </si>
  <si>
    <t>A/ THÔNG TIN CHUNG</t>
  </si>
  <si>
    <t>Tấn</t>
  </si>
  <si>
    <t>Thời gian</t>
  </si>
  <si>
    <t>B/ CHI PHÍ VẬT TƯ CHỊU LỬA</t>
  </si>
  <si>
    <t>HẠNG MỤC</t>
  </si>
  <si>
    <t>ĐƠN GIÁ
(VNĐ)</t>
  </si>
  <si>
    <t>CHI PHÍ
(VNĐ)</t>
  </si>
  <si>
    <t>CHÊNH LỆCH
(%)</t>
  </si>
  <si>
    <t>GIÁ THÀNH
(VNĐ/KG)</t>
  </si>
  <si>
    <t>Thực dùng</t>
  </si>
  <si>
    <t>Hư hại, bể</t>
  </si>
  <si>
    <t>Thực tế</t>
  </si>
  <si>
    <t>Lý thuyết</t>
  </si>
  <si>
    <t>Bông bảo ôn 7200</t>
  </si>
  <si>
    <t>Bông bảo ôn 300</t>
  </si>
  <si>
    <t>Kiện</t>
  </si>
  <si>
    <t>Tấm silic canx</t>
  </si>
  <si>
    <t>Gạch chịu nhiệt</t>
  </si>
  <si>
    <t xml:space="preserve">Gạch vuông </t>
  </si>
  <si>
    <t>Gạch nặng</t>
  </si>
  <si>
    <t>Gạch nhẹ</t>
  </si>
  <si>
    <t>C/ CHI PHÍ VẬN HÀNH</t>
  </si>
  <si>
    <t>CHI PHÍ</t>
  </si>
  <si>
    <t>TỔNG CHI</t>
  </si>
  <si>
    <t>Chi phí điện</t>
  </si>
  <si>
    <t>Chi phí nhân công</t>
  </si>
  <si>
    <t>Chi phí xe cơ giới</t>
  </si>
  <si>
    <t>Chi phí dầu DO</t>
  </si>
  <si>
    <t>Chi phí khấu hao</t>
  </si>
  <si>
    <t>D/ GIÁ THÀNH LÒ NUNG</t>
  </si>
  <si>
    <t>GIÁ THÀNH</t>
  </si>
  <si>
    <t>Chi phí vật liệu chịu lửa</t>
  </si>
  <si>
    <t>Chi phí vận hành</t>
  </si>
  <si>
    <t>Tổng</t>
  </si>
  <si>
    <t>*Lưu ý: Giá thành này chưa bao gồm các vật tư khác cần thay thế, cải tạo phát sinh trong vận hành lò</t>
  </si>
  <si>
    <t>ĐIỆN TIÊU THỤ</t>
  </si>
  <si>
    <t>(KW)</t>
  </si>
  <si>
    <t>ĐƠN GIÁ</t>
  </si>
  <si>
    <t>X</t>
  </si>
  <si>
    <t>THÀNH TIỀN</t>
  </si>
  <si>
    <t>Đinh sứ</t>
  </si>
  <si>
    <t>NƠI MUA</t>
  </si>
  <si>
    <t>VN</t>
  </si>
  <si>
    <t>TQ</t>
  </si>
  <si>
    <t>Đế cách điện nhựa bake</t>
  </si>
  <si>
    <t>TỒN KHO</t>
  </si>
  <si>
    <t>Ống sứ  1300 độ 300mm</t>
  </si>
  <si>
    <t>Ống sứ đường 100mm</t>
  </si>
  <si>
    <t>Ống sứ đường 400mm</t>
  </si>
  <si>
    <t>Đầu cos SC 150*16</t>
  </si>
  <si>
    <t>Đầu cos SC120-12</t>
  </si>
  <si>
    <t>HIỆN TẠI</t>
  </si>
  <si>
    <t>SẮP NHẬP</t>
  </si>
  <si>
    <t>LỊCH SỬ CẤP SỬ DỤNG</t>
  </si>
  <si>
    <t>SỐ LƯỢNG CÒN LẠI</t>
  </si>
  <si>
    <t>Bazo</t>
  </si>
  <si>
    <t>TUẦN</t>
  </si>
  <si>
    <t>TUẦN 1</t>
  </si>
  <si>
    <t>THỨ</t>
  </si>
  <si>
    <t>SỐ MẺ</t>
  </si>
  <si>
    <t>TUẦN 5</t>
  </si>
  <si>
    <t>SỐ ĐIỆN</t>
  </si>
  <si>
    <t>VẬT TƯ</t>
  </si>
  <si>
    <t>NHÂN SỰ</t>
  </si>
  <si>
    <t>SẢN LƯỢNG
(Tấn)</t>
  </si>
  <si>
    <t>BÁO CÁO CHI PHÍ LÒ NUNG TỪ 12/10-18/10</t>
  </si>
  <si>
    <t>KẾ HOẠCH</t>
  </si>
  <si>
    <t>Sản lượng T.TẾ</t>
  </si>
  <si>
    <t>Ép bánh</t>
  </si>
  <si>
    <t>TỔNG CHI PHÍ</t>
  </si>
  <si>
    <t>ÉP BÁNH</t>
  </si>
  <si>
    <t>TỈ LỆ</t>
  </si>
  <si>
    <t>BAZO</t>
  </si>
  <si>
    <t>BÁNH ÉP</t>
  </si>
  <si>
    <t>SẢN LƯỢNG ĐÁP ỨNG (TẤN)</t>
  </si>
  <si>
    <t>ĐIỆN NĂNG TIÊU THỤ (KW)</t>
  </si>
  <si>
    <t>CHI PHÍ ĐIỆN NĂNG (VNĐ)</t>
  </si>
  <si>
    <t>CHI PHÍ KHÁC (VNĐ)</t>
  </si>
  <si>
    <t>THÁNG 8</t>
  </si>
  <si>
    <t>THÁNG 9</t>
  </si>
  <si>
    <t>THÁNG 10</t>
  </si>
  <si>
    <t>GIÁ THÀNH
THÁNG 9</t>
  </si>
  <si>
    <t>B/ SO SÁNH SẢN LƯỢNG THÁNG 9/2025</t>
  </si>
  <si>
    <t>TỔNG CHI PHÍ THÁNG 11</t>
  </si>
  <si>
    <t>C/ SẢN LƯỢNG THÁNG VÀ GIÁ THÀNH DỰ KIẾN THÁNG 11/2025</t>
  </si>
  <si>
    <t>C.1/ NĂNG LỰC SẢN XUẤT THEO KHSX THÁNG 11</t>
  </si>
  <si>
    <t>C.2/ NĂNG LỰC XỬ LÝ THÁNG 11</t>
  </si>
  <si>
    <t>Bảo trì lò</t>
  </si>
  <si>
    <t>CHI PHÍ TỔNG</t>
  </si>
  <si>
    <t>NHÓM HÀNG</t>
  </si>
  <si>
    <t>VỤN</t>
  </si>
  <si>
    <t>0.5 giờ</t>
  </si>
  <si>
    <t>ĐIỆN NĂNG TIÊU THỤ</t>
  </si>
  <si>
    <t>Nhân sự</t>
  </si>
  <si>
    <t>Cơ giới</t>
  </si>
  <si>
    <t>Khấu hao</t>
  </si>
  <si>
    <t>VLCL</t>
  </si>
  <si>
    <t>Xe 210</t>
  </si>
  <si>
    <t>Xe 290</t>
  </si>
  <si>
    <t>Xe nâng 6T</t>
  </si>
  <si>
    <t>Xe nâng 3T</t>
  </si>
  <si>
    <t>LOẠI CƠ GIỚI THAO TÁC</t>
  </si>
  <si>
    <t>TIÊU THỤ
(LÍT/GIỜ)</t>
  </si>
  <si>
    <t>NHIÊN LIỆU TIÊU THỤ TƯƠNG ỨNG</t>
  </si>
  <si>
    <t>Giá dầu</t>
  </si>
  <si>
    <t>CHI PHÍ VẬN HÀNH (VND/KG)</t>
  </si>
  <si>
    <t>ĐỊNH MỨC CHI PHÍ VẬN HÀNH LÒ NUNG</t>
  </si>
  <si>
    <t>Công suất
(Kw)</t>
  </si>
  <si>
    <t>Đơn giá
(VNĐ)</t>
  </si>
  <si>
    <t>Chi phí
(VNĐ)</t>
  </si>
  <si>
    <t>TỔNG CHI PHÍ CHO MỘT MẺ
(VNĐ)</t>
  </si>
  <si>
    <t>TỔNG CHI PHÍ THÁNG 12</t>
  </si>
  <si>
    <t>II/ SẢN LƯỢNG THÁNG VÀ GIÁ THÀNH DỰ KIẾN THÁNG 12</t>
  </si>
  <si>
    <t>1. SẢN LƯỢNG 2200 TẤN/THÁNG</t>
  </si>
  <si>
    <t>2. SẢN LƯỢNG 1600 TẤN/THÁNG</t>
  </si>
  <si>
    <t>3. SẢN LƯỢNG 1200 TẤN/THÁNG</t>
  </si>
  <si>
    <t>5 Hz</t>
  </si>
  <si>
    <t>20 Hz</t>
  </si>
  <si>
    <t>30 Hz</t>
  </si>
  <si>
    <t>35 Hz</t>
  </si>
  <si>
    <t>15 Hz</t>
  </si>
  <si>
    <t>25 Hz</t>
  </si>
  <si>
    <t>304, 316</t>
  </si>
  <si>
    <t>40 Hz</t>
  </si>
  <si>
    <t>10 Hz</t>
  </si>
  <si>
    <t>YÊU CẦU THỰC HIỆN</t>
  </si>
  <si>
    <t>TRƯỚC VẬN HÀNH</t>
  </si>
  <si>
    <t>TRONG VẬN HÀNH</t>
  </si>
  <si>
    <t>SAU VẬN HÀNH</t>
  </si>
  <si>
    <t>HỆ THỐNG HÚT KHÓI LÒ NUNG</t>
  </si>
  <si>
    <t>Kiểm tra hệ thống điện</t>
  </si>
  <si>
    <t>Kiểm tra, vệ sinh xe goong lò nung</t>
  </si>
  <si>
    <t>Kiểm tra khu vực bảo ôn, dây điện trở</t>
  </si>
  <si>
    <t>Kiểm tra, vệ sinh các vị trí đinh sứ</t>
  </si>
  <si>
    <t>Quan sát, điều phối chất hàng lên lò</t>
  </si>
  <si>
    <t>Kiểm tra tình trạng hàng hóa khi lên lò</t>
  </si>
  <si>
    <t>Xác định tính chất hàng hóa</t>
  </si>
  <si>
    <t>Xác định thông số vận hành</t>
  </si>
  <si>
    <t>Theo dõi thông số nhiệt khi vận hành</t>
  </si>
  <si>
    <t>Ghi nhận, báo cáo và xử lý sự cố</t>
  </si>
  <si>
    <t>Điều chỉnh thông số (nếu có)</t>
  </si>
  <si>
    <t>Ghi nhận thông số sau vận hành</t>
  </si>
  <si>
    <t>Điều phối, hỗ trợ xuống hàng</t>
  </si>
  <si>
    <t>Kiểm tra tổng thể tình trạng lò</t>
  </si>
  <si>
    <t>Ghi nhận, báo cáo kết quả vận hành</t>
  </si>
  <si>
    <t>Kiểm tra tổng quan tình trạng thiết bị</t>
  </si>
  <si>
    <t>Vệ sinh, bơm nước giải nhiệt</t>
  </si>
  <si>
    <t>Mở nước giải nhiệt</t>
  </si>
  <si>
    <t>Mở hệ thống dập nước</t>
  </si>
  <si>
    <t>Mở tháp phun sương</t>
  </si>
  <si>
    <t>Quan sát tình trạng khói và mở quạt</t>
  </si>
  <si>
    <t>Giám sát, theo dõi tình trạng thiết bị</t>
  </si>
  <si>
    <t>Ghi nhận nhiệt độ khói đầu vào và ra</t>
  </si>
  <si>
    <t>Điều chỉnh công suất quạt hút (nếu có)</t>
  </si>
  <si>
    <t>Kiểm tra thiết bị sau vận hành</t>
  </si>
  <si>
    <t>Tắt các thiết bị sau vận hành</t>
  </si>
  <si>
    <t>Ghi nhận báo cáo vận hành</t>
  </si>
  <si>
    <t>NỘI DUNG THỰC HIỆN</t>
  </si>
  <si>
    <t>Cần theo dõi liên tục tình trạng thiết bị để có phương án xử lý kịp thời</t>
  </si>
  <si>
    <t>Phải theo dõi lò liên tục trong quá trình vận hành, lưu ý các giá trị nhiệt và các pha trở (có đứt hay bình thường)</t>
  </si>
  <si>
    <t>Phải đảm bảo lò ổn định trước khi vận hành, đặc biệt là các khu vực điện trở</t>
  </si>
  <si>
    <t>Cần vệ sinh sơ bộ đế xe goong trước khi lên mẻ mới, đồng thời xử lý nhanh các sự cố phát sinh nhỏ</t>
  </si>
  <si>
    <t>Quan trọng nhất là motor hút, tháp dập nước</t>
  </si>
  <si>
    <t>Cần lên lịch bảo trì định kỳ, thay thế bazo và vệ sinh tháp</t>
  </si>
  <si>
    <t>QUY TRÌNH VẬN HÀNH HỆ THỐNG LÒ NUNG</t>
  </si>
  <si>
    <t>TỔNG KẾT KẾ HOẠCH THÁNG 12/2025 VÀ DỰ KIẾN THÁNG 01/2026</t>
  </si>
  <si>
    <t>A. SẢN LƯỢNG THÁNG 12/2025</t>
  </si>
  <si>
    <t>KẾ HOẠCH VẬN HÀNH VÀ THEO DÕI LÒ NUNG THÁNG 03-2026</t>
  </si>
  <si>
    <t>NHIỆT ĐỘ ĐỐT</t>
  </si>
  <si>
    <t>LÊN LÒ</t>
  </si>
  <si>
    <t>XUỐNG LÒ</t>
  </si>
  <si>
    <t>THÔNG SỐ XỬ LÝ HÀNG HÓA LÒ NUNG
加热炉物料处理参数</t>
  </si>
  <si>
    <t>NHÓM HÀNG
货物类别</t>
  </si>
  <si>
    <t>TÊN HÀNG
货物名称</t>
  </si>
  <si>
    <t>MÁC THÉP
钢种牌号</t>
  </si>
  <si>
    <t>SẢN LƯỢNG
(TẤN/MẺ)
产量（吨）</t>
  </si>
  <si>
    <t>QUY CÁCH
规格</t>
  </si>
  <si>
    <t>TÌNH TRẠNG HÀNG HÓA
物料状态</t>
  </si>
  <si>
    <t>NHIỆT ĐỘ VÀ THỜI GIAN XỬ LÝ
处理温度及时间</t>
  </si>
  <si>
    <t>THÔNG SỐ ĐIỀU CHỈNH QUẠT HÚT
抽风机调节参数</t>
  </si>
  <si>
    <t>THỜI GIAN THAO TÁC
操作时间</t>
  </si>
  <si>
    <t>NHÂN SỰ
操作人员</t>
  </si>
  <si>
    <t>KEO
胶质</t>
  </si>
  <si>
    <t>DẦU NHỚT
油污</t>
  </si>
  <si>
    <t>TẠP CHẤT KHÁC
其他杂质</t>
  </si>
  <si>
    <t>Nâng nhiệt
升温</t>
  </si>
  <si>
    <t>Giữ nhiệt
保温</t>
  </si>
  <si>
    <t>Ngâm lò
均热</t>
  </si>
  <si>
    <t>Tổng
合计</t>
  </si>
  <si>
    <t>Không khói
无烟</t>
  </si>
  <si>
    <t>Khói ít
少烟</t>
  </si>
  <si>
    <t>Khói vừa
中等烟</t>
  </si>
  <si>
    <t>Khói nhiều
多烟</t>
  </si>
  <si>
    <t>Lên lò
入炉</t>
  </si>
  <si>
    <t>Xuống lò
出炉</t>
  </si>
  <si>
    <t>Vận hành
操作</t>
  </si>
  <si>
    <t>Ít
少</t>
  </si>
  <si>
    <t>Nhiều
多</t>
  </si>
  <si>
    <t>ÉP BÁNH
压块废料</t>
  </si>
  <si>
    <t>EB ĐẠI
大压块</t>
  </si>
  <si>
    <t>Tấm dập
薄冲压板</t>
  </si>
  <si>
    <t>800℃</t>
  </si>
  <si>
    <t>6 giờ
6 时</t>
  </si>
  <si>
    <t>5 giờ
5 时</t>
  </si>
  <si>
    <t>11 giờ
11 时</t>
  </si>
  <si>
    <t>1.5 giờ
1.5 时</t>
  </si>
  <si>
    <t>3 giờ
3 时</t>
  </si>
  <si>
    <t>2 người
2 人</t>
  </si>
  <si>
    <t>1 người
1 人</t>
  </si>
  <si>
    <t>850℃</t>
  </si>
  <si>
    <t>Ve chai
多形状散料</t>
  </si>
  <si>
    <t>4 giờ
4 时</t>
  </si>
  <si>
    <t>10 giờ
10 时</t>
  </si>
  <si>
    <t>750℃</t>
  </si>
  <si>
    <t>700℃</t>
  </si>
  <si>
    <t>ÉP BÁNH TRUNG
中压块</t>
  </si>
  <si>
    <t>2 giờ
2 时</t>
  </si>
  <si>
    <t>5.5 giờ
5.5 时</t>
  </si>
  <si>
    <t>3.5 giờ
3.5 时</t>
  </si>
  <si>
    <t>9 giờ
9 时</t>
  </si>
  <si>
    <t>ÉP BÁNH NHỎ
小压块</t>
  </si>
  <si>
    <t>8 giờ
8 时</t>
  </si>
  <si>
    <t>0.5 giờ
0.5 时</t>
  </si>
  <si>
    <t>1 giờ
1 时</t>
  </si>
  <si>
    <t>BAZO
毛刺废料</t>
  </si>
  <si>
    <t>BAZO ÉP BÁNH
压块毛刺料</t>
  </si>
  <si>
    <t>180℃</t>
  </si>
  <si>
    <t>250℃</t>
  </si>
  <si>
    <t>360℃</t>
  </si>
  <si>
    <t>170℃</t>
  </si>
  <si>
    <t>330℃</t>
  </si>
  <si>
    <t>260℃</t>
  </si>
  <si>
    <t>350℃</t>
  </si>
  <si>
    <t>BAZO VỤN
散状毛刺料</t>
  </si>
  <si>
    <t>200℃</t>
  </si>
  <si>
    <t>280℃</t>
  </si>
  <si>
    <t>380℃</t>
  </si>
  <si>
    <t>VỤN
碎散废料</t>
  </si>
  <si>
    <t>ỐC VÍT
螺丝废料</t>
  </si>
  <si>
    <t>12 giờ
12 时</t>
  </si>
  <si>
    <t>VE CHAI
碎散废料</t>
  </si>
  <si>
    <t>Bánh đại 304</t>
  </si>
  <si>
    <t>Bánh đại + BN 304</t>
  </si>
  <si>
    <t>Bánh đại 201</t>
  </si>
  <si>
    <t>Ve chai</t>
  </si>
  <si>
    <t>GIÁ DẦU</t>
  </si>
  <si>
    <t>BÁO CÁO SẢN LƯỢNG VÀ CHI PHÍ VẬN HÀNH LÒ NUNG
窑炉产量及运行成本报告</t>
  </si>
  <si>
    <t>HÀNG HÓA
货物</t>
  </si>
  <si>
    <t>SẢN LƯỢNG 产量 (KG)</t>
  </si>
  <si>
    <t>CHI PHÍ VẬN HÀNH 运行成本</t>
  </si>
  <si>
    <t>GIÁ THÀNH 成本 (VNĐ/Kg)</t>
  </si>
  <si>
    <t>KẾ HOẠCH
计划</t>
  </si>
  <si>
    <t>THỰC TẾ
实际</t>
  </si>
  <si>
    <t>TỈ LỆ
比例</t>
  </si>
  <si>
    <t>Điện
电力</t>
  </si>
  <si>
    <t>Nhân sự
人工</t>
  </si>
  <si>
    <t>Cơ giới
机械</t>
  </si>
  <si>
    <t>CPKH + VẬT TƯ</t>
  </si>
  <si>
    <t>CHI PHÍ GIÁ THÀNH 成本
VND/kg</t>
  </si>
  <si>
    <t>Sản lượng (Kg)
产量（公斤）</t>
  </si>
  <si>
    <t>Thời gian xử lý (giờ)</t>
  </si>
  <si>
    <t>Tỉ lệ hàng
(%)</t>
  </si>
  <si>
    <t>T4 - Tháng 4</t>
  </si>
  <si>
    <t>Vấn đề phát sinh</t>
  </si>
  <si>
    <t>Tình trạng</t>
  </si>
  <si>
    <t>Phương án sửa chữa</t>
  </si>
  <si>
    <t>THÔNG TIN VẬN HÀNH
运行信息</t>
  </si>
  <si>
    <t>T5 - Tháng 4</t>
  </si>
  <si>
    <t>Bánh trung 304</t>
  </si>
  <si>
    <t>Bánh nhỏ 304</t>
  </si>
  <si>
    <t>Bazo ép bánh 304</t>
  </si>
  <si>
    <t>Bazo 304</t>
  </si>
  <si>
    <t>Ốc vít 304</t>
  </si>
  <si>
    <t>Bánh đại + BT 304</t>
  </si>
  <si>
    <t>Bánh trung + BN 304</t>
  </si>
  <si>
    <t>Bánh nhỏ + vụn 304</t>
  </si>
  <si>
    <t>Loại hàng</t>
  </si>
  <si>
    <t>Sản lượng định mức/mẻ</t>
  </si>
  <si>
    <t>BẢO TRÌ</t>
  </si>
  <si>
    <t>THỜI GIAN</t>
  </si>
  <si>
    <t>lên/xuống</t>
  </si>
  <si>
    <t>THỜI GIAN (giờ)</t>
  </si>
  <si>
    <t>GIỜ VẬN HÀNH</t>
  </si>
  <si>
    <t>NGÀY BĐ</t>
  </si>
  <si>
    <t>NGÀY KT</t>
  </si>
  <si>
    <t>Bánh đại 304 + 316</t>
  </si>
  <si>
    <t>Bánh nhỏ + ốc vít 304</t>
  </si>
  <si>
    <t>Bánh đại + Vụn 304</t>
  </si>
  <si>
    <t>Tổng lít dầu/kg</t>
  </si>
  <si>
    <t>Tổng lít dầu/mẻ</t>
  </si>
  <si>
    <t>Nhóm hàng</t>
  </si>
  <si>
    <t>EB GỘP</t>
  </si>
  <si>
    <t>GIÁ THÀNH
(VNĐ)</t>
  </si>
  <si>
    <t>A. Sản lượng và chi phí vận hành tuần 1 - tháng 6
6月份第1周产量及运行成本</t>
  </si>
  <si>
    <t>T1 - Tháng 6</t>
  </si>
  <si>
    <t>T4 - Tháng 5</t>
  </si>
  <si>
    <t>B. Sản lượng và chi phí vận hành dự kiến tuần 2 - tháng 6
6月份第2周预计产量及运行成本</t>
  </si>
  <si>
    <t>Bánh đại + nhỏ + vụn 304</t>
  </si>
  <si>
    <t>Tuần 2</t>
  </si>
  <si>
    <t xml:space="preserve">BD + BN + OV + Vụn </t>
  </si>
  <si>
    <t>SL ĐỊNH MỨC</t>
  </si>
  <si>
    <t>BAZO ép bánh lồng</t>
  </si>
  <si>
    <t>L1</t>
  </si>
  <si>
    <t>BAZO KIỆN</t>
  </si>
  <si>
    <t>EB đại</t>
  </si>
  <si>
    <t>EB trung</t>
  </si>
  <si>
    <t>EB nhỏ</t>
  </si>
  <si>
    <t>Ốc vít</t>
  </si>
  <si>
    <t>Bazo tẩy rửa</t>
  </si>
  <si>
    <t>DM</t>
  </si>
  <si>
    <t>Tuần 3</t>
  </si>
  <si>
    <t>Tuần 4</t>
  </si>
  <si>
    <t>BAZO TẨY</t>
  </si>
  <si>
    <t>240℃</t>
  </si>
  <si>
    <t>420℃</t>
  </si>
  <si>
    <t>540℃</t>
  </si>
  <si>
    <t xml:space="preserve">CÔNG CỤ DỤNG CỤ </t>
  </si>
  <si>
    <t>Mỏ lếch 18 inch</t>
  </si>
  <si>
    <t xml:space="preserve">LỒNG </t>
  </si>
  <si>
    <t>1000 kg</t>
  </si>
  <si>
    <t>Bánh đại 304 + 201</t>
  </si>
  <si>
    <t>Bazo tẩy rửa 304</t>
  </si>
  <si>
    <r>
      <rPr>
        <b/>
        <u/>
        <sz val="11"/>
        <color rgb="FFFF0000"/>
        <rFont val="Times New Roman"/>
        <family val="1"/>
      </rPr>
      <t>Ghi chú:</t>
    </r>
    <r>
      <rPr>
        <b/>
        <u/>
        <sz val="11"/>
        <color theme="1"/>
        <rFont val="Times New Roman"/>
        <family val="1"/>
      </rPr>
      <t xml:space="preserve">
</t>
    </r>
    <r>
      <rPr>
        <sz val="11"/>
        <color rgb="FFFF0000"/>
        <rFont val="Times New Roman"/>
        <family val="1"/>
      </rPr>
      <t>1.  Ngưng lò: 61  tiếng &lt;=&gt; 6.1  mẻ (bánh đại - 50,000 kg): Chi phí thiệt hại 95,465,000 VNĐ
停炉：61 小时，约相当于6.1 炉（大饼–50,000 kg）；损失成本：95,465,000。</t>
    </r>
  </si>
  <si>
    <t>Hệ thống điện</t>
  </si>
  <si>
    <t>đứt vùng điện trở</t>
  </si>
  <si>
    <t>Đã khắc phục</t>
  </si>
  <si>
    <t>Tháp dập nước</t>
  </si>
  <si>
    <t>Thủng thân tháp</t>
  </si>
  <si>
    <t>Đầu dò nhiệt (củ tỏi)</t>
  </si>
  <si>
    <t>Bộ cờ lê vòng miệng 8-24mm</t>
  </si>
  <si>
    <t>14 pcsx (8 - 24 mm)</t>
  </si>
  <si>
    <t>Bộ lục giác đa năng</t>
  </si>
  <si>
    <t>1.5-10mm</t>
  </si>
  <si>
    <t>Bộ đầu tuýp 1/2 thép Chorme Vanadium</t>
  </si>
  <si>
    <t>8-32 (kèm cần siết)</t>
  </si>
  <si>
    <t>Bộ Vít dẹp và Bake</t>
  </si>
  <si>
    <t>THT250618: Bộ 18</t>
  </si>
  <si>
    <t>18 inch Top dài 450mm model 160112-18"</t>
  </si>
  <si>
    <t>Kềm bấm chết 10 inch</t>
  </si>
  <si>
    <t>250 mm Crossman USA</t>
  </si>
  <si>
    <t>Bộ 3 kiềm răng, cắt, nhọn</t>
  </si>
  <si>
    <t>HKPS28318 thép Cr-V</t>
  </si>
  <si>
    <t>https://vn.shp.ee/bqD7XgVc</t>
  </si>
  <si>
    <t>https://vn.shp.ee/Mgx1cPd2</t>
  </si>
  <si>
    <t>https://vn.shp.ee/NDP65FhL</t>
  </si>
  <si>
    <t>https://vn.shp.ee/Xjqd13k8</t>
  </si>
  <si>
    <t>https://vn.shp.ee/nB7GvjSH</t>
  </si>
  <si>
    <t>https://vn.shp.ee/rT2aDtNY</t>
  </si>
  <si>
    <t>https://vn.shp.ee/UizkuGCw</t>
  </si>
  <si>
    <t>Tấm dập</t>
  </si>
  <si>
    <t>Vụn ve chai</t>
  </si>
  <si>
    <t>L2</t>
  </si>
  <si>
    <t>Bazo vunj</t>
  </si>
  <si>
    <t>2400 (ko đầy lồng)</t>
  </si>
  <si>
    <t>Tuần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</si>
</sst>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[$-F400]h:mm:ss\ AM/PM"/>
    <numFmt numFmtId="165" formatCode="_(* #,##0_);_(* \(#,##0\);_(* &quot;-&quot;??_);_(@_)"/>
    <numFmt numFmtId="166" formatCode="_(* #,##0.000000_);_(* \(#,##0.000000\);_(* &quot;-&quot;??_);_(@_)"/>
    <numFmt numFmtId="167" formatCode="_(* #,##0.0_);_(* \(#,##0.0\);_(* &quot;-&quot;??_);_(@_)"/>
    <numFmt numFmtId="168" formatCode="[$-1010000]d/m/yy;@"/>
    <numFmt numFmtId="169" formatCode="[$-409]m/d/yy\ h:mm\ AM/PM;@"/>
    <numFmt numFmtId="170" formatCode="0.000000"/>
    <numFmt numFmtId="171" formatCode="0.0000"/>
    <numFmt numFmtId="172" formatCode="[$-409]h:mm\ AM/PM;@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5"/>
      <name val="Times New Roman"/>
      <family val="1"/>
    </font>
    <font>
      <sz val="15"/>
      <name val="Times New Roman"/>
      <family val="1"/>
    </font>
    <font>
      <b/>
      <sz val="15"/>
      <name val="Times New Roman"/>
      <family val="1"/>
    </font>
    <font>
      <b/>
      <sz val="15"/>
      <color rgb="FFFF0000"/>
      <name val="Times New Roman"/>
      <family val="1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sz val="12"/>
      <color theme="1"/>
      <name val="Calibri"/>
      <family val="2"/>
      <charset val="136"/>
      <scheme val="minor"/>
    </font>
    <font>
      <i/>
      <sz val="15"/>
      <color theme="1"/>
      <name val="Times New Roman"/>
      <family val="1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1"/>
      <color theme="8" tint="-0.499984740745262"/>
      <name val="Times New Roman"/>
      <family val="1"/>
    </font>
    <font>
      <b/>
      <i/>
      <sz val="13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mbria"/>
      <family val="2"/>
      <scheme val="major"/>
    </font>
    <font>
      <b/>
      <i/>
      <sz val="11"/>
      <color theme="1"/>
      <name val="Cambria"/>
      <family val="2"/>
      <scheme val="major"/>
    </font>
    <font>
      <i/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u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Times New Roman"/>
      <family val="1"/>
    </font>
    <font>
      <b/>
      <u val="singleAccounting"/>
      <sz val="11"/>
      <color rgb="FFFF0000"/>
      <name val="Times New Roman"/>
      <family val="1"/>
    </font>
    <font>
      <u val="singleAccounting"/>
      <sz val="11"/>
      <color rgb="FFFF0000"/>
      <name val="Times New Roman"/>
      <family val="1"/>
    </font>
    <font>
      <sz val="11"/>
      <color rgb="FFFF0000"/>
      <name val="Times New Roman"/>
      <family val="1"/>
    </font>
    <font>
      <b/>
      <u/>
      <sz val="11"/>
      <color rgb="FFFF0000"/>
      <name val="Times New Roman"/>
      <family val="1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82">
    <border>
      <left/>
      <right/>
      <top/>
      <bottom/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thin">
        <color theme="5" tint="-0.249977111117893"/>
      </right>
      <top style="medium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medium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medium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medium">
        <color theme="5" tint="-0.249977111117893"/>
      </top>
      <bottom style="dashed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dashed">
        <color theme="5" tint="-0.249977111117893"/>
      </top>
      <bottom style="dashed">
        <color theme="5" tint="-0.249977111117893"/>
      </bottom>
      <diagonal/>
    </border>
    <border>
      <left style="thin">
        <color theme="5" tint="-0.249977111117893"/>
      </left>
      <right style="medium">
        <color theme="5" tint="-0.249977111117893"/>
      </right>
      <top style="dashed">
        <color theme="5" tint="-0.249977111117893"/>
      </top>
      <bottom style="dashed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dashed">
        <color theme="5" tint="-0.249977111117893"/>
      </top>
      <bottom style="medium">
        <color theme="5" tint="-0.249977111117893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 style="medium">
        <color theme="5" tint="-0.249977111117893"/>
      </bottom>
      <diagonal/>
    </border>
    <border>
      <left/>
      <right/>
      <top style="medium">
        <color theme="5" tint="-0.249977111117893"/>
      </top>
      <bottom style="medium">
        <color theme="5" tint="-0.249977111117893"/>
      </bottom>
      <diagonal/>
    </border>
    <border>
      <left/>
      <right style="medium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theme="5" tint="-0.249977111117893"/>
      </left>
      <right/>
      <top style="medium">
        <color theme="5" tint="-0.249977111117893"/>
      </top>
      <bottom style="thin">
        <color theme="5" tint="-0.249977111117893"/>
      </bottom>
      <diagonal/>
    </border>
    <border>
      <left/>
      <right/>
      <top style="medium">
        <color theme="5" tint="-0.249977111117893"/>
      </top>
      <bottom style="thin">
        <color theme="5" tint="-0.249977111117893"/>
      </bottom>
      <diagonal/>
    </border>
    <border>
      <left/>
      <right style="thin">
        <color theme="5" tint="-0.249977111117893"/>
      </right>
      <top style="medium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medium">
        <color theme="5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medium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 style="medium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 style="medium">
        <color theme="5" tint="-0.249977111117893"/>
      </left>
      <right style="medium">
        <color theme="5" tint="-0.249977111117893"/>
      </right>
      <top/>
      <bottom style="medium">
        <color theme="5" tint="-0.249977111117893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 style="thin">
        <color theme="5" tint="-0.249977111117893"/>
      </bottom>
      <diagonal/>
    </border>
    <border>
      <left style="medium">
        <color theme="5" tint="-0.249977111117893"/>
      </left>
      <right/>
      <top style="thin">
        <color theme="5" tint="-0.249977111117893"/>
      </top>
      <bottom style="medium">
        <color theme="5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 style="medium">
        <color theme="5" tint="-0.249977111117893"/>
      </bottom>
      <diagonal/>
    </border>
    <border>
      <left style="thin">
        <color theme="5" tint="-0.249977111117893"/>
      </left>
      <right/>
      <top style="thin">
        <color theme="5" tint="-0.249977111117893"/>
      </top>
      <bottom style="medium">
        <color theme="5" tint="-0.249977111117893"/>
      </bottom>
      <diagonal/>
    </border>
    <border>
      <left style="thin">
        <color theme="5" tint="-0.249977111117893"/>
      </left>
      <right style="medium">
        <color theme="5" tint="-0.249977111117893"/>
      </right>
      <top/>
      <bottom style="medium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/>
      <top style="medium">
        <color theme="5" tint="0.79998168889431442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thin">
        <color theme="5" tint="-0.249977111117893"/>
      </right>
      <top style="medium">
        <color theme="5" tint="-0.249977111117893"/>
      </top>
      <bottom/>
      <diagonal/>
    </border>
    <border>
      <left style="thin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 style="thin">
        <color theme="5" tint="-0.249977111117893"/>
      </bottom>
      <diagonal/>
    </border>
    <border>
      <left style="thin">
        <color theme="5" tint="-0.249977111117893"/>
      </left>
      <right style="medium">
        <color theme="5" tint="-0.249977111117893"/>
      </right>
      <top/>
      <bottom style="thin">
        <color theme="5" tint="-0.249977111117893"/>
      </bottom>
      <diagonal/>
    </border>
    <border>
      <left style="medium">
        <color theme="5" tint="-0.249977111117893"/>
      </left>
      <right/>
      <top style="thin">
        <color theme="5" tint="-0.249977111117893"/>
      </top>
      <bottom/>
      <diagonal/>
    </border>
    <border>
      <left/>
      <right style="medium">
        <color theme="5" tint="-0.249977111117893"/>
      </right>
      <top style="thin">
        <color theme="5" tint="-0.249977111117893"/>
      </top>
      <bottom/>
      <diagonal/>
    </border>
    <border>
      <left style="medium">
        <color theme="5" tint="-0.249977111117893"/>
      </left>
      <right/>
      <top style="medium">
        <color theme="5" tint="0.79998168889431442"/>
      </top>
      <bottom/>
      <diagonal/>
    </border>
    <border>
      <left/>
      <right style="medium">
        <color theme="5" tint="-0.249977111117893"/>
      </right>
      <top style="medium">
        <color theme="5" tint="0.79998168889431442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 style="medium">
        <color theme="5" tint="0.79998168889431442"/>
      </top>
      <bottom style="medium">
        <color theme="5" tint="-0.249977111117893"/>
      </bottom>
      <diagonal/>
    </border>
    <border>
      <left style="medium">
        <color theme="5" tint="-0.249977111117893"/>
      </left>
      <right style="thin">
        <color theme="5"/>
      </right>
      <top style="medium">
        <color theme="5" tint="-0.249977111117893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medium">
        <color theme="5" tint="-0.249977111117893"/>
      </top>
      <bottom style="thin">
        <color theme="5"/>
      </bottom>
      <diagonal/>
    </border>
    <border>
      <left style="thin">
        <color theme="5"/>
      </left>
      <right style="medium">
        <color theme="5" tint="-0.249977111117893"/>
      </right>
      <top style="medium">
        <color theme="5" tint="-0.249977111117893"/>
      </top>
      <bottom style="thin">
        <color theme="5"/>
      </bottom>
      <diagonal/>
    </border>
    <border>
      <left style="medium">
        <color theme="5" tint="-0.249977111117893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medium">
        <color theme="5" tint="-0.249977111117893"/>
      </right>
      <top style="thin">
        <color theme="5"/>
      </top>
      <bottom/>
      <diagonal/>
    </border>
    <border>
      <left style="medium">
        <color theme="5" tint="-0.249977111117893"/>
      </left>
      <right style="thin">
        <color theme="5"/>
      </right>
      <top style="medium">
        <color theme="5"/>
      </top>
      <bottom/>
      <diagonal/>
    </border>
    <border>
      <left style="thin">
        <color theme="5"/>
      </left>
      <right style="medium">
        <color theme="5" tint="-0.249977111117893"/>
      </right>
      <top style="medium">
        <color theme="5"/>
      </top>
      <bottom/>
      <diagonal/>
    </border>
    <border>
      <left style="medium">
        <color theme="5" tint="-0.249977111117893"/>
      </left>
      <right style="thin">
        <color theme="5"/>
      </right>
      <top/>
      <bottom/>
      <diagonal/>
    </border>
    <border>
      <left style="medium">
        <color theme="5" tint="-0.249977111117893"/>
      </left>
      <right style="thin">
        <color theme="5"/>
      </right>
      <top/>
      <bottom style="medium">
        <color theme="5" tint="-0.249977111117893"/>
      </bottom>
      <diagonal/>
    </border>
    <border>
      <left style="thin">
        <color theme="5"/>
      </left>
      <right style="thin">
        <color theme="5"/>
      </right>
      <top/>
      <bottom style="medium">
        <color theme="5" tint="-0.249977111117893"/>
      </bottom>
      <diagonal/>
    </border>
    <border>
      <left style="thin">
        <color theme="5"/>
      </left>
      <right style="medium">
        <color theme="5" tint="-0.249977111117893"/>
      </right>
      <top/>
      <bottom/>
      <diagonal/>
    </border>
    <border>
      <left style="thin">
        <color theme="5"/>
      </left>
      <right style="medium">
        <color theme="5" tint="-0.249977111117893"/>
      </right>
      <top/>
      <bottom style="medium">
        <color theme="5" tint="-0.249977111117893"/>
      </bottom>
      <diagonal/>
    </border>
    <border>
      <left style="medium">
        <color theme="5" tint="-0.249977111117893"/>
      </left>
      <right style="thin">
        <color theme="5" tint="-0.249977111117893"/>
      </right>
      <top style="medium">
        <color theme="5" tint="-0.249977111117893"/>
      </top>
      <bottom/>
      <diagonal/>
    </border>
    <border>
      <left style="medium">
        <color theme="5"/>
      </left>
      <right style="thin">
        <color theme="5"/>
      </right>
      <top style="dashed">
        <color theme="5"/>
      </top>
      <bottom style="dashed">
        <color theme="5"/>
      </bottom>
      <diagonal/>
    </border>
    <border>
      <left style="thin">
        <color theme="5"/>
      </left>
      <right style="thin">
        <color theme="5"/>
      </right>
      <top style="dashed">
        <color theme="5"/>
      </top>
      <bottom style="dashed">
        <color theme="5"/>
      </bottom>
      <diagonal/>
    </border>
    <border>
      <left style="medium">
        <color theme="5"/>
      </left>
      <right style="thin">
        <color theme="5"/>
      </right>
      <top style="dashed">
        <color theme="5"/>
      </top>
      <bottom style="medium">
        <color theme="5"/>
      </bottom>
      <diagonal/>
    </border>
    <border>
      <left style="thin">
        <color theme="5"/>
      </left>
      <right style="thin">
        <color theme="5"/>
      </right>
      <top style="dashed">
        <color theme="5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thin">
        <color indexed="64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thin">
        <color theme="5"/>
      </right>
      <top style="medium">
        <color theme="5"/>
      </top>
      <bottom style="dashed">
        <color theme="5"/>
      </bottom>
      <diagonal/>
    </border>
    <border>
      <left style="thin">
        <color theme="5"/>
      </left>
      <right style="thin">
        <color theme="5"/>
      </right>
      <top style="medium">
        <color theme="5"/>
      </top>
      <bottom style="dashed">
        <color theme="5"/>
      </bottom>
      <diagonal/>
    </border>
    <border>
      <left style="thin">
        <color theme="5"/>
      </left>
      <right style="medium">
        <color theme="5"/>
      </right>
      <top style="medium">
        <color theme="5"/>
      </top>
      <bottom style="dashed">
        <color theme="5"/>
      </bottom>
      <diagonal/>
    </border>
    <border>
      <left style="thin">
        <color theme="5"/>
      </left>
      <right style="medium">
        <color theme="5"/>
      </right>
      <top style="dashed">
        <color theme="5"/>
      </top>
      <bottom style="dashed">
        <color theme="5"/>
      </bottom>
      <diagonal/>
    </border>
    <border>
      <left/>
      <right style="medium">
        <color theme="5"/>
      </right>
      <top/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thin">
        <color indexed="64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5"/>
      </left>
      <right style="thin">
        <color theme="5"/>
      </right>
      <top style="medium">
        <color theme="5"/>
      </top>
      <bottom style="medium">
        <color theme="5"/>
      </bottom>
      <diagonal/>
    </border>
    <border>
      <left style="thin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thin">
        <color theme="5" tint="-0.249977111117893"/>
      </left>
      <right style="thin">
        <color theme="5" tint="-0.249977111117893"/>
      </right>
      <top style="dashed">
        <color theme="5" tint="-0.249977111117893"/>
      </top>
      <bottom/>
      <diagonal/>
    </border>
    <border>
      <left style="thin">
        <color theme="5" tint="-0.249977111117893"/>
      </left>
      <right style="medium">
        <color theme="5" tint="-0.249977111117893"/>
      </right>
      <top style="dashed">
        <color theme="5" tint="-0.249977111117893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dashed">
        <color theme="5" tint="-0.249977111117893"/>
      </bottom>
      <diagonal/>
    </border>
    <border>
      <left style="thin">
        <color theme="5" tint="-0.249977111117893"/>
      </left>
      <right style="medium">
        <color theme="5" tint="-0.249977111117893"/>
      </right>
      <top/>
      <bottom style="dashed">
        <color theme="5" tint="-0.249977111117893"/>
      </bottom>
      <diagonal/>
    </border>
    <border>
      <left style="medium">
        <color theme="5" tint="-0.249977111117893"/>
      </left>
      <right style="thin">
        <color theme="5" tint="-0.249977111117893"/>
      </right>
      <top/>
      <bottom style="medium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medium">
        <color theme="5" tint="-0.249977111117893"/>
      </bottom>
      <diagonal/>
    </border>
    <border>
      <left/>
      <right style="thin">
        <color theme="5" tint="-0.249977111117893"/>
      </right>
      <top/>
      <bottom style="dashed">
        <color theme="5" tint="-0.249977111117893"/>
      </bottom>
      <diagonal/>
    </border>
    <border>
      <left/>
      <right style="thin">
        <color theme="5" tint="-0.249977111117893"/>
      </right>
      <top style="dashed">
        <color theme="5" tint="-0.249977111117893"/>
      </top>
      <bottom style="dashed">
        <color theme="5" tint="-0.249977111117893"/>
      </bottom>
      <diagonal/>
    </border>
    <border>
      <left/>
      <right style="thin">
        <color theme="5" tint="-0.249977111117893"/>
      </right>
      <top style="dashed">
        <color theme="5" tint="-0.249977111117893"/>
      </top>
      <bottom/>
      <diagonal/>
    </border>
    <border>
      <left/>
      <right/>
      <top/>
      <bottom style="medium">
        <color rgb="FFC00000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medium">
        <color rgb="FFC00000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dashed">
        <color rgb="FFC00000"/>
      </bottom>
      <diagonal/>
    </border>
    <border>
      <left/>
      <right/>
      <top/>
      <bottom style="dashed">
        <color rgb="FFC00000"/>
      </bottom>
      <diagonal/>
    </border>
    <border>
      <left style="thin">
        <color theme="5" tint="-0.249977111117893"/>
      </left>
      <right style="thin">
        <color theme="5" tint="-0.249977111117893"/>
      </right>
      <top style="dashed">
        <color rgb="FFC00000"/>
      </top>
      <bottom style="dashed">
        <color rgb="FFC00000"/>
      </bottom>
      <diagonal/>
    </border>
    <border>
      <left/>
      <right style="thin">
        <color theme="5" tint="-0.249977111117893"/>
      </right>
      <top/>
      <bottom style="dashed">
        <color rgb="FFC00000"/>
      </bottom>
      <diagonal/>
    </border>
    <border>
      <left style="thin">
        <color theme="5" tint="-0.249977111117893"/>
      </left>
      <right/>
      <top style="medium">
        <color theme="5" tint="-0.249977111117893"/>
      </top>
      <bottom/>
      <diagonal/>
    </border>
    <border>
      <left style="thin">
        <color theme="5" tint="-0.249977111117893"/>
      </left>
      <right/>
      <top/>
      <bottom style="medium">
        <color theme="5" tint="-0.249977111117893"/>
      </bottom>
      <diagonal/>
    </border>
    <border>
      <left/>
      <right style="thin">
        <color theme="5" tint="-0.249977111117893"/>
      </right>
      <top/>
      <bottom style="medium">
        <color theme="5" tint="-0.249977111117893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theme="5" tint="-0.249977111117893"/>
      </left>
      <right style="thin">
        <color theme="5" tint="-0.249977111117893"/>
      </right>
      <top/>
      <bottom/>
      <diagonal/>
    </border>
    <border>
      <left style="thin">
        <color theme="5" tint="-0.249977111117893"/>
      </left>
      <right style="medium">
        <color theme="5" tint="-0.249977111117893"/>
      </right>
      <top/>
      <bottom/>
      <diagonal/>
    </border>
    <border>
      <left style="thin">
        <color rgb="FFC00000"/>
      </left>
      <right style="thin">
        <color rgb="FFC00000"/>
      </right>
      <top style="dashed">
        <color rgb="FFC00000"/>
      </top>
      <bottom style="dashed">
        <color rgb="FFC00000"/>
      </bottom>
      <diagonal/>
    </border>
    <border>
      <left/>
      <right style="thin">
        <color indexed="64"/>
      </right>
      <top style="medium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medium">
        <color rgb="FFC00000"/>
      </top>
      <bottom style="thin">
        <color indexed="64"/>
      </bottom>
      <diagonal/>
    </border>
    <border>
      <left style="thin">
        <color rgb="FFC00000"/>
      </left>
      <right style="thin">
        <color rgb="FFC00000"/>
      </right>
      <top style="thin">
        <color indexed="64"/>
      </top>
      <bottom style="thin">
        <color rgb="FFC00000"/>
      </bottom>
      <diagonal/>
    </border>
    <border>
      <left style="medium">
        <color theme="5" tint="-0.249977111117893"/>
      </left>
      <right style="thin">
        <color theme="5"/>
      </right>
      <top style="medium">
        <color theme="5" tint="-0.249977111117893"/>
      </top>
      <bottom style="dashed">
        <color theme="5"/>
      </bottom>
      <diagonal/>
    </border>
    <border>
      <left style="thin">
        <color theme="5"/>
      </left>
      <right style="thin">
        <color theme="5"/>
      </right>
      <top style="medium">
        <color theme="5" tint="-0.249977111117893"/>
      </top>
      <bottom style="dashed">
        <color theme="5"/>
      </bottom>
      <diagonal/>
    </border>
    <border>
      <left style="thin">
        <color theme="5"/>
      </left>
      <right/>
      <top style="medium">
        <color theme="5" tint="-0.249977111117893"/>
      </top>
      <bottom style="dashed">
        <color theme="5"/>
      </bottom>
      <diagonal/>
    </border>
    <border>
      <left/>
      <right/>
      <top style="medium">
        <color theme="5" tint="-0.249977111117893"/>
      </top>
      <bottom style="dashed">
        <color theme="5"/>
      </bottom>
      <diagonal/>
    </border>
    <border>
      <left/>
      <right style="thin">
        <color theme="5"/>
      </right>
      <top style="medium">
        <color theme="5" tint="-0.249977111117893"/>
      </top>
      <bottom style="dashed">
        <color theme="5"/>
      </bottom>
      <diagonal/>
    </border>
    <border>
      <left style="medium">
        <color theme="5" tint="-0.249977111117893"/>
      </left>
      <right style="thin">
        <color theme="5"/>
      </right>
      <top style="dashed">
        <color theme="5"/>
      </top>
      <bottom style="medium">
        <color theme="5"/>
      </bottom>
      <diagonal/>
    </border>
    <border>
      <left style="thin">
        <color theme="5"/>
      </left>
      <right style="thin">
        <color theme="5"/>
      </right>
      <top style="medium">
        <color theme="5"/>
      </top>
      <bottom style="dashed">
        <color theme="5" tint="-0.249977111117893"/>
      </bottom>
      <diagonal/>
    </border>
    <border>
      <left style="thin">
        <color theme="5"/>
      </left>
      <right style="thin">
        <color theme="5"/>
      </right>
      <top/>
      <bottom style="dashed">
        <color theme="5" tint="-0.249977111117893"/>
      </bottom>
      <diagonal/>
    </border>
    <border>
      <left style="medium">
        <color theme="5" tint="-0.249977111117893"/>
      </left>
      <right style="thin">
        <color theme="5"/>
      </right>
      <top/>
      <bottom style="dashed">
        <color theme="5" tint="-0.249977111117893"/>
      </bottom>
      <diagonal/>
    </border>
    <border>
      <left style="thin">
        <color theme="5"/>
      </left>
      <right style="thin">
        <color theme="5"/>
      </right>
      <top style="dashed">
        <color theme="5" tint="-0.249977111117893"/>
      </top>
      <bottom style="dashed">
        <color theme="5" tint="-0.249977111117893"/>
      </bottom>
      <diagonal/>
    </border>
    <border>
      <left style="medium">
        <color theme="5" tint="-0.249977111117893"/>
      </left>
      <right style="thin">
        <color theme="5"/>
      </right>
      <top style="dashed">
        <color theme="5" tint="-0.249977111117893"/>
      </top>
      <bottom/>
      <diagonal/>
    </border>
    <border>
      <left style="thin">
        <color theme="5"/>
      </left>
      <right style="thin">
        <color theme="5"/>
      </right>
      <top style="dashed">
        <color theme="5" tint="-0.249977111117893"/>
      </top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 style="dashed">
        <color theme="5" tint="-0.249977111117893"/>
      </top>
      <bottom style="medium">
        <color theme="5" tint="-0.249977111117893"/>
      </bottom>
      <diagonal/>
    </border>
    <border>
      <left style="medium">
        <color theme="5" tint="-0.249977111117893"/>
      </left>
      <right style="thin">
        <color theme="5"/>
      </right>
      <top style="dashed">
        <color theme="5" tint="-0.249977111117893"/>
      </top>
      <bottom style="medium">
        <color theme="5" tint="-0.249977111117893"/>
      </bottom>
      <diagonal/>
    </border>
    <border>
      <left style="medium">
        <color theme="5"/>
      </left>
      <right/>
      <top style="medium">
        <color theme="5"/>
      </top>
      <bottom style="medium">
        <color theme="5" tint="-0.249977111117893"/>
      </bottom>
      <diagonal/>
    </border>
    <border>
      <left/>
      <right/>
      <top style="medium">
        <color theme="5"/>
      </top>
      <bottom style="medium">
        <color theme="5" tint="-0.249977111117893"/>
      </bottom>
      <diagonal/>
    </border>
    <border>
      <left/>
      <right style="medium">
        <color theme="5"/>
      </right>
      <top style="medium">
        <color theme="5"/>
      </top>
      <bottom style="medium">
        <color theme="5" tint="-0.249977111117893"/>
      </bottom>
      <diagonal/>
    </border>
    <border>
      <left/>
      <right style="medium">
        <color theme="5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theme="5" tint="-0.249977111117893"/>
      </left>
      <right/>
      <top style="medium">
        <color theme="5" tint="-0.249977111117893"/>
      </top>
      <bottom style="dashed">
        <color theme="5"/>
      </bottom>
      <diagonal/>
    </border>
    <border>
      <left/>
      <right style="medium">
        <color theme="5"/>
      </right>
      <top style="medium">
        <color theme="5" tint="-0.249977111117893"/>
      </top>
      <bottom style="dashed">
        <color theme="5"/>
      </bottom>
      <diagonal/>
    </border>
    <border>
      <left style="thin">
        <color theme="5"/>
      </left>
      <right style="medium">
        <color theme="5"/>
      </right>
      <top style="dashed">
        <color theme="5"/>
      </top>
      <bottom style="medium">
        <color theme="5"/>
      </bottom>
      <diagonal/>
    </border>
    <border>
      <left style="medium">
        <color theme="5" tint="-0.249977111117893"/>
      </left>
      <right style="thin">
        <color theme="5" tint="-0.249977111117893"/>
      </right>
      <top style="medium">
        <color theme="5"/>
      </top>
      <bottom style="dashed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medium">
        <color theme="5"/>
      </top>
      <bottom style="dashed">
        <color theme="5" tint="-0.249977111117893"/>
      </bottom>
      <diagonal/>
    </border>
    <border>
      <left style="thin">
        <color theme="5" tint="-0.249977111117893"/>
      </left>
      <right style="medium">
        <color theme="5"/>
      </right>
      <top style="medium">
        <color theme="5"/>
      </top>
      <bottom style="dashed">
        <color theme="5" tint="-0.249977111117893"/>
      </bottom>
      <diagonal/>
    </border>
    <border>
      <left style="medium">
        <color theme="5" tint="-0.249977111117893"/>
      </left>
      <right style="thin">
        <color theme="5" tint="-0.249977111117893"/>
      </right>
      <top style="dashed">
        <color theme="5" tint="-0.249977111117893"/>
      </top>
      <bottom style="dashed">
        <color theme="5" tint="-0.249977111117893"/>
      </bottom>
      <diagonal/>
    </border>
    <border>
      <left style="thin">
        <color theme="5" tint="-0.249977111117893"/>
      </left>
      <right style="medium">
        <color theme="5"/>
      </right>
      <top style="dashed">
        <color theme="5" tint="-0.249977111117893"/>
      </top>
      <bottom style="dashed">
        <color theme="5" tint="-0.249977111117893"/>
      </bottom>
      <diagonal/>
    </border>
    <border>
      <left style="medium">
        <color theme="5" tint="-0.249977111117893"/>
      </left>
      <right style="thin">
        <color theme="5" tint="-0.249977111117893"/>
      </right>
      <top style="dashed">
        <color theme="5" tint="-0.249977111117893"/>
      </top>
      <bottom/>
      <diagonal/>
    </border>
    <border>
      <left style="thin">
        <color theme="5" tint="-0.249977111117893"/>
      </left>
      <right style="medium">
        <color theme="5"/>
      </right>
      <top style="dashed">
        <color theme="5" tint="-0.249977111117893"/>
      </top>
      <bottom/>
      <diagonal/>
    </border>
    <border>
      <left style="thin">
        <color theme="5"/>
      </left>
      <right style="medium">
        <color theme="5"/>
      </right>
      <top style="dashed">
        <color theme="5" tint="-0.249977111117893"/>
      </top>
      <bottom style="medium">
        <color theme="5" tint="-0.249977111117893"/>
      </bottom>
      <diagonal/>
    </border>
    <border>
      <left style="medium">
        <color theme="5" tint="-0.249977111117893"/>
      </left>
      <right style="thin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medium">
        <color theme="5" tint="-0.249977111117893"/>
      </left>
      <right style="thin">
        <color theme="5" tint="-0.249977111117893"/>
      </right>
      <top style="medium">
        <color theme="5" tint="-0.249977111117893"/>
      </top>
      <bottom style="dashed">
        <color theme="5" tint="-0.249977111117893"/>
      </bottom>
      <diagonal/>
    </border>
    <border>
      <left style="thin">
        <color theme="5" tint="-0.249977111117893"/>
      </left>
      <right/>
      <top style="medium">
        <color theme="5" tint="-0.249977111117893"/>
      </top>
      <bottom style="dashed">
        <color theme="5" tint="-0.249977111117893"/>
      </bottom>
      <diagonal/>
    </border>
    <border>
      <left/>
      <right style="medium">
        <color theme="5" tint="-0.249977111117893"/>
      </right>
      <top style="medium">
        <color theme="5" tint="-0.249977111117893"/>
      </top>
      <bottom style="dashed">
        <color theme="5" tint="-0.249977111117893"/>
      </bottom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 style="thin">
        <color theme="5" tint="-0.249977111117893"/>
      </right>
      <top style="dashed">
        <color theme="5" tint="-0.249977111117893"/>
      </top>
      <bottom style="medium">
        <color theme="5" tint="-0.249977111117893"/>
      </bottom>
      <diagonal/>
    </border>
    <border>
      <left style="medium">
        <color theme="5" tint="-0.24994659260841701"/>
      </left>
      <right/>
      <top style="medium">
        <color theme="5" tint="-0.249977111117893"/>
      </top>
      <bottom style="medium">
        <color theme="5" tint="-0.249977111117893"/>
      </bottom>
      <diagonal/>
    </border>
    <border>
      <left style="medium">
        <color theme="5" tint="-0.249977111117893"/>
      </left>
      <right style="thin">
        <color theme="5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 style="dashed">
        <color theme="5"/>
      </bottom>
      <diagonal/>
    </border>
    <border>
      <left style="medium">
        <color theme="5" tint="-0.249977111117893"/>
      </left>
      <right style="thin">
        <color theme="5"/>
      </right>
      <top/>
      <bottom style="medium">
        <color theme="5"/>
      </bottom>
      <diagonal/>
    </border>
    <border>
      <left style="thin">
        <color theme="5"/>
      </left>
      <right style="medium">
        <color theme="5" tint="-0.249977111117893"/>
      </right>
      <top style="dashed">
        <color theme="5"/>
      </top>
      <bottom style="medium">
        <color theme="5"/>
      </bottom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 style="dashed">
        <color theme="5"/>
      </bottom>
      <diagonal/>
    </border>
    <border>
      <left/>
      <right style="thin">
        <color theme="5"/>
      </right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 style="dashed">
        <color theme="5"/>
      </bottom>
      <diagonal/>
    </border>
    <border>
      <left style="thin">
        <color theme="5"/>
      </left>
      <right style="medium">
        <color theme="5" tint="-0.249977111117893"/>
      </right>
      <top/>
      <bottom style="dashed">
        <color theme="5"/>
      </bottom>
      <diagonal/>
    </border>
    <border>
      <left style="thin">
        <color theme="5"/>
      </left>
      <right style="thin">
        <color theme="5"/>
      </right>
      <top style="dashed">
        <color theme="5"/>
      </top>
      <bottom/>
      <diagonal/>
    </border>
    <border>
      <left/>
      <right style="thin">
        <color theme="5"/>
      </right>
      <top style="dashed">
        <color theme="5" tint="-0.249977111117893"/>
      </top>
      <bottom style="dashed">
        <color theme="5" tint="-0.249977111117893"/>
      </bottom>
      <diagonal/>
    </border>
    <border>
      <left/>
      <right style="thin">
        <color theme="5"/>
      </right>
      <top style="dashed">
        <color theme="5"/>
      </top>
      <bottom/>
      <diagonal/>
    </border>
    <border>
      <left style="thin">
        <color theme="5"/>
      </left>
      <right style="medium">
        <color theme="5" tint="-0.249977111117893"/>
      </right>
      <top style="dashed">
        <color theme="5"/>
      </top>
      <bottom/>
      <diagonal/>
    </border>
    <border>
      <left style="thin">
        <color theme="5"/>
      </left>
      <right style="thin">
        <color theme="5"/>
      </right>
      <top style="dashed">
        <color theme="5"/>
      </top>
      <bottom style="dashed">
        <color theme="5" tint="-0.249977111117893"/>
      </bottom>
      <diagonal/>
    </border>
    <border>
      <left/>
      <right style="thin">
        <color theme="5"/>
      </right>
      <top/>
      <bottom style="dashed">
        <color theme="5" tint="-0.249977111117893"/>
      </bottom>
      <diagonal/>
    </border>
    <border>
      <left style="thin">
        <color theme="5"/>
      </left>
      <right style="medium">
        <color theme="5" tint="-0.249977111117893"/>
      </right>
      <top/>
      <bottom style="dashed">
        <color theme="5" tint="-0.249977111117893"/>
      </bottom>
      <diagonal/>
    </border>
    <border>
      <left style="thin">
        <color theme="5"/>
      </left>
      <right style="medium">
        <color theme="5" tint="-0.249977111117893"/>
      </right>
      <top style="dashed">
        <color theme="5" tint="-0.249977111117893"/>
      </top>
      <bottom style="medium">
        <color theme="5" tint="-0.249977111117893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C00000"/>
      </left>
      <right style="thin">
        <color rgb="FFC00000"/>
      </right>
      <top/>
      <bottom style="dashed">
        <color rgb="FFC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5" tint="-0.249977111117893"/>
      </left>
      <right/>
      <top/>
      <bottom style="dashed">
        <color theme="5" tint="-0.249977111117893"/>
      </bottom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 style="medium">
        <color theme="5" tint="-0.249977111117893"/>
      </right>
      <top style="dashed">
        <color theme="5" tint="-0.249977111117893"/>
      </top>
      <bottom style="medium">
        <color theme="5" tint="-0.249977111117893"/>
      </bottom>
      <diagonal/>
    </border>
    <border>
      <left style="medium">
        <color rgb="FFC00000"/>
      </left>
      <right style="thin">
        <color rgb="FFC00000"/>
      </right>
      <top style="dashed">
        <color rgb="FFC00000"/>
      </top>
      <bottom style="dashed">
        <color rgb="FFC00000"/>
      </bottom>
      <diagonal/>
    </border>
    <border>
      <left style="thin">
        <color rgb="FFC00000"/>
      </left>
      <right style="medium">
        <color rgb="FFC00000"/>
      </right>
      <top style="dashed">
        <color rgb="FFC00000"/>
      </top>
      <bottom style="dashed">
        <color rgb="FFC00000"/>
      </bottom>
      <diagonal/>
    </border>
    <border>
      <left style="medium">
        <color rgb="FFC00000"/>
      </left>
      <right style="thin">
        <color rgb="FFC00000"/>
      </right>
      <top style="dashed">
        <color rgb="FFC00000"/>
      </top>
      <bottom style="medium">
        <color rgb="FFC00000"/>
      </bottom>
      <diagonal/>
    </border>
    <border>
      <left style="thin">
        <color rgb="FFC00000"/>
      </left>
      <right style="thin">
        <color rgb="FFC00000"/>
      </right>
      <top style="dashed">
        <color rgb="FFC00000"/>
      </top>
      <bottom style="medium">
        <color rgb="FFC00000"/>
      </bottom>
      <diagonal/>
    </border>
    <border>
      <left style="thin">
        <color rgb="FFC00000"/>
      </left>
      <right style="medium">
        <color rgb="FFC00000"/>
      </right>
      <top style="dashed">
        <color rgb="FFC00000"/>
      </top>
      <bottom style="medium">
        <color rgb="FFC00000"/>
      </bottom>
      <diagonal/>
    </border>
    <border>
      <left style="thin">
        <color theme="5" tint="-0.249977111117893"/>
      </left>
      <right/>
      <top/>
      <bottom style="dashed">
        <color rgb="FFC00000"/>
      </bottom>
      <diagonal/>
    </border>
    <border>
      <left style="thin">
        <color rgb="FFC00000"/>
      </left>
      <right style="medium">
        <color rgb="FFC00000"/>
      </right>
      <top/>
      <bottom style="dashed">
        <color rgb="FFC00000"/>
      </bottom>
      <diagonal/>
    </border>
    <border>
      <left style="thin">
        <color rgb="FFC00000"/>
      </left>
      <right style="medium">
        <color rgb="FFC00000"/>
      </right>
      <top style="dashed">
        <color rgb="FFC00000"/>
      </top>
      <bottom style="medium">
        <color theme="5" tint="-0.249977111117893"/>
      </bottom>
      <diagonal/>
    </border>
    <border>
      <left style="thin">
        <color rgb="FFC00000"/>
      </left>
      <right style="thin">
        <color rgb="FFC00000"/>
      </right>
      <top style="dashed">
        <color rgb="FFC00000"/>
      </top>
      <bottom/>
      <diagonal/>
    </border>
    <border>
      <left style="thin">
        <color rgb="FFC00000"/>
      </left>
      <right style="medium">
        <color rgb="FFC00000"/>
      </right>
      <top style="dashed">
        <color rgb="FFC00000"/>
      </top>
      <bottom/>
      <diagonal/>
    </border>
    <border>
      <left style="medium">
        <color rgb="FFC00000"/>
      </left>
      <right style="thin">
        <color rgb="FFC00000"/>
      </right>
      <top/>
      <bottom style="dashed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 style="medium">
        <color theme="5" tint="-0.249977111117893"/>
      </right>
      <top style="thin">
        <color theme="5" tint="-0.249977111117893"/>
      </top>
      <bottom/>
      <diagonal/>
    </border>
    <border>
      <left/>
      <right style="thin">
        <color rgb="FFC00000"/>
      </right>
      <top style="dashed">
        <color rgb="FFC00000"/>
      </top>
      <bottom style="dashed">
        <color rgb="FFC00000"/>
      </bottom>
      <diagonal/>
    </border>
    <border>
      <left/>
      <right style="thin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rgb="FFC00000"/>
      </left>
      <right style="thin">
        <color theme="5" tint="-0.249977111117893"/>
      </right>
      <top style="dashed">
        <color rgb="FFC00000"/>
      </top>
      <bottom style="dashed">
        <color rgb="FFC00000"/>
      </bottom>
      <diagonal/>
    </border>
    <border>
      <left style="thin">
        <color theme="5" tint="-0.249977111117893"/>
      </left>
      <right style="thin">
        <color rgb="FFC00000"/>
      </right>
      <top/>
      <bottom style="dashed">
        <color theme="5" tint="-0.249977111117893"/>
      </bottom>
      <diagonal/>
    </border>
    <border>
      <left style="thin">
        <color theme="5" tint="-0.249977111117893"/>
      </left>
      <right style="thin">
        <color rgb="FFC00000"/>
      </right>
      <top/>
      <bottom/>
      <diagonal/>
    </border>
    <border>
      <left style="thin">
        <color theme="5" tint="-0.249977111117893"/>
      </left>
      <right style="thin">
        <color rgb="FFC00000"/>
      </right>
      <top style="dashed">
        <color theme="5" tint="-0.249977111117893"/>
      </top>
      <bottom/>
      <diagonal/>
    </border>
    <border>
      <left/>
      <right style="thin">
        <color theme="5" tint="-0.249977111117893"/>
      </right>
      <top style="dashed">
        <color rgb="FFC00000"/>
      </top>
      <bottom style="dashed">
        <color rgb="FFC00000"/>
      </bottom>
      <diagonal/>
    </border>
    <border>
      <left style="thin">
        <color rgb="FFC00000"/>
      </left>
      <right style="thin">
        <color rgb="FFC00000"/>
      </right>
      <top style="dashed">
        <color rgb="FFC00000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C00000"/>
      </left>
      <right style="thin">
        <color theme="5" tint="-0.249977111117893"/>
      </right>
      <top style="dashed">
        <color rgb="FFC00000"/>
      </top>
      <bottom style="medium">
        <color theme="5" tint="-0.249977111117893"/>
      </bottom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 style="medium">
        <color rgb="FFC00000"/>
      </top>
      <bottom/>
      <diagonal/>
    </border>
    <border>
      <left/>
      <right style="thin">
        <color rgb="FFC00000"/>
      </right>
      <top/>
      <bottom style="medium">
        <color rgb="FFC00000"/>
      </bottom>
      <diagonal/>
    </border>
    <border>
      <left style="medium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5" tint="-0.249977111117893"/>
      </left>
      <right/>
      <top style="dashed">
        <color theme="5" tint="-0.249977111117893"/>
      </top>
      <bottom style="thin">
        <color theme="5" tint="-0.249977111117893"/>
      </bottom>
      <diagonal/>
    </border>
    <border>
      <left/>
      <right style="medium">
        <color theme="5" tint="-0.249977111117893"/>
      </right>
      <top style="dashed">
        <color theme="5" tint="-0.249977111117893"/>
      </top>
      <bottom style="thin">
        <color theme="5" tint="-0.249977111117893"/>
      </bottom>
      <diagonal/>
    </border>
    <border>
      <left/>
      <right style="medium">
        <color theme="5" tint="-0.249977111117893"/>
      </right>
      <top/>
      <bottom style="thin">
        <color theme="5" tint="-0.249977111117893"/>
      </bottom>
      <diagonal/>
    </border>
    <border>
      <left style="thin">
        <color rgb="FFC00000"/>
      </left>
      <right style="medium">
        <color rgb="FFC00000"/>
      </right>
      <top/>
      <bottom/>
      <diagonal/>
    </border>
    <border>
      <left/>
      <right/>
      <top style="dashed">
        <color rgb="FFC00000"/>
      </top>
      <bottom style="dashed">
        <color rgb="FFC00000"/>
      </bottom>
      <diagonal/>
    </border>
    <border>
      <left style="thin">
        <color theme="5" tint="-0.249977111117893"/>
      </left>
      <right/>
      <top style="dashed">
        <color rgb="FFC00000"/>
      </top>
      <bottom style="dashed">
        <color rgb="FFC00000"/>
      </bottom>
      <diagonal/>
    </border>
    <border>
      <left style="thin">
        <color theme="5" tint="-0.249977111117893"/>
      </left>
      <right style="thin">
        <color rgb="FFC00000"/>
      </right>
      <top style="dashed">
        <color rgb="FFC00000"/>
      </top>
      <bottom style="dashed">
        <color rgb="FFC00000"/>
      </bottom>
      <diagonal/>
    </border>
    <border>
      <left style="thin">
        <color rgb="FFC00000"/>
      </left>
      <right style="thin">
        <color rgb="FFC00000"/>
      </right>
      <top/>
      <bottom style="dashed">
        <color theme="5" tint="-0.249977111117893"/>
      </bottom>
      <diagonal/>
    </border>
    <border>
      <left/>
      <right style="thin">
        <color rgb="FFC00000"/>
      </right>
      <top style="dashed">
        <color rgb="FFC00000"/>
      </top>
      <bottom style="medium">
        <color rgb="FFC00000"/>
      </bottom>
      <diagonal/>
    </border>
    <border>
      <left/>
      <right style="thin">
        <color rgb="FFC00000"/>
      </right>
      <top style="dashed">
        <color rgb="FFC00000"/>
      </top>
      <bottom/>
      <diagonal/>
    </border>
    <border>
      <left style="thin">
        <color rgb="FFC00000"/>
      </left>
      <right style="medium">
        <color rgb="FFC00000"/>
      </right>
      <top/>
      <bottom style="dashed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/>
      <top style="medium">
        <color rgb="FFC00000"/>
      </top>
      <bottom/>
      <diagonal/>
    </border>
    <border>
      <left style="thin">
        <color rgb="FFC00000"/>
      </left>
      <right style="thin">
        <color rgb="FFC00000"/>
      </right>
      <top style="medium">
        <color rgb="FFC00000"/>
      </top>
      <bottom style="dashed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theme="5" tint="-0.249977111117893"/>
      </left>
      <right style="thin">
        <color rgb="FFC00000"/>
      </right>
      <top style="dashed">
        <color theme="5" tint="-0.249977111117893"/>
      </top>
      <bottom style="medium">
        <color theme="5" tint="-0.249977111117893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 style="dashed">
        <color rgb="FFC00000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4" fillId="0" borderId="0">
      <alignment vertical="center"/>
    </xf>
    <xf numFmtId="9" fontId="1" fillId="0" borderId="0" applyFont="0" applyFill="0" applyBorder="0" applyAlignment="0" applyProtection="0"/>
    <xf numFmtId="0" fontId="43" fillId="0" borderId="0" applyNumberFormat="0" applyFill="0" applyBorder="0" applyAlignment="0" applyProtection="0"/>
  </cellStyleXfs>
  <cellXfs count="916">
    <xf numFmtId="0" fontId="0" fillId="0" borderId="0" xfId="0"/>
    <xf numFmtId="0" fontId="0" fillId="0" borderId="0" xfId="0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left" vertical="center"/>
    </xf>
    <xf numFmtId="166" fontId="9" fillId="0" borderId="20" xfId="1" applyNumberFormat="1" applyFont="1" applyBorder="1" applyAlignment="1">
      <alignment horizontal="center" vertical="center"/>
    </xf>
    <xf numFmtId="166" fontId="9" fillId="0" borderId="20" xfId="1" applyNumberFormat="1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43" fontId="9" fillId="0" borderId="0" xfId="1" applyFont="1" applyAlignment="1">
      <alignment vertical="center"/>
    </xf>
    <xf numFmtId="0" fontId="12" fillId="0" borderId="0" xfId="0" applyFont="1"/>
    <xf numFmtId="0" fontId="13" fillId="2" borderId="20" xfId="0" applyFont="1" applyFill="1" applyBorder="1" applyAlignment="1">
      <alignment horizontal="center" vertical="center"/>
    </xf>
    <xf numFmtId="0" fontId="13" fillId="2" borderId="20" xfId="0" quotePrefix="1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left" vertical="center" wrapText="1"/>
    </xf>
    <xf numFmtId="1" fontId="12" fillId="2" borderId="20" xfId="2" quotePrefix="1" applyNumberFormat="1" applyFont="1" applyFill="1" applyBorder="1" applyAlignment="1">
      <alignment horizontal="center" vertical="center" wrapText="1"/>
    </xf>
    <xf numFmtId="167" fontId="15" fillId="0" borderId="20" xfId="1" applyNumberFormat="1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166" fontId="12" fillId="2" borderId="20" xfId="1" applyNumberFormat="1" applyFont="1" applyFill="1" applyBorder="1" applyAlignment="1">
      <alignment horizontal="center" vertical="center"/>
    </xf>
    <xf numFmtId="166" fontId="12" fillId="0" borderId="20" xfId="1" applyNumberFormat="1" applyFont="1" applyBorder="1" applyAlignment="1">
      <alignment horizontal="center" vertical="center"/>
    </xf>
    <xf numFmtId="167" fontId="12" fillId="0" borderId="20" xfId="0" applyNumberFormat="1" applyFont="1" applyBorder="1" applyAlignment="1">
      <alignment horizontal="center" vertical="center"/>
    </xf>
    <xf numFmtId="0" fontId="12" fillId="0" borderId="20" xfId="0" applyFont="1" applyBorder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0" fillId="0" borderId="34" xfId="0" applyBorder="1"/>
    <xf numFmtId="0" fontId="0" fillId="0" borderId="35" xfId="0" applyBorder="1"/>
    <xf numFmtId="43" fontId="0" fillId="0" borderId="35" xfId="1" applyFont="1" applyBorder="1"/>
    <xf numFmtId="0" fontId="16" fillId="0" borderId="35" xfId="0" applyFont="1" applyBorder="1" applyAlignment="1">
      <alignment horizontal="center"/>
    </xf>
    <xf numFmtId="165" fontId="0" fillId="0" borderId="35" xfId="1" applyNumberFormat="1" applyFont="1" applyBorder="1"/>
    <xf numFmtId="166" fontId="0" fillId="0" borderId="35" xfId="1" applyNumberFormat="1" applyFont="1" applyBorder="1"/>
    <xf numFmtId="0" fontId="0" fillId="0" borderId="36" xfId="0" applyBorder="1"/>
    <xf numFmtId="0" fontId="0" fillId="0" borderId="37" xfId="0" applyBorder="1"/>
    <xf numFmtId="0" fontId="2" fillId="0" borderId="22" xfId="0" applyFont="1" applyBorder="1" applyAlignment="1">
      <alignment vertical="center"/>
    </xf>
    <xf numFmtId="0" fontId="0" fillId="0" borderId="38" xfId="0" applyBorder="1"/>
    <xf numFmtId="14" fontId="2" fillId="0" borderId="42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 vertical="center"/>
    </xf>
    <xf numFmtId="43" fontId="17" fillId="0" borderId="0" xfId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65" fontId="17" fillId="0" borderId="0" xfId="1" applyNumberFormat="1" applyFont="1" applyBorder="1" applyAlignment="1">
      <alignment horizontal="center" vertical="center"/>
    </xf>
    <xf numFmtId="166" fontId="17" fillId="0" borderId="0" xfId="1" applyNumberFormat="1" applyFont="1" applyBorder="1" applyAlignment="1">
      <alignment horizontal="center" vertical="center"/>
    </xf>
    <xf numFmtId="43" fontId="2" fillId="0" borderId="0" xfId="1" applyFont="1" applyFill="1" applyBorder="1" applyAlignment="1">
      <alignment horizontal="left" vertical="center"/>
    </xf>
    <xf numFmtId="43" fontId="0" fillId="0" borderId="0" xfId="1" applyFont="1" applyBorder="1"/>
    <xf numFmtId="0" fontId="16" fillId="0" borderId="0" xfId="0" applyFont="1" applyAlignment="1">
      <alignment horizontal="center"/>
    </xf>
    <xf numFmtId="165" fontId="0" fillId="0" borderId="0" xfId="1" applyNumberFormat="1" applyFont="1" applyBorder="1"/>
    <xf numFmtId="166" fontId="0" fillId="0" borderId="0" xfId="1" applyNumberFormat="1" applyFont="1" applyBorder="1"/>
    <xf numFmtId="0" fontId="19" fillId="0" borderId="0" xfId="0" applyFont="1" applyAlignment="1">
      <alignment horizontal="left" vertical="center"/>
    </xf>
    <xf numFmtId="43" fontId="19" fillId="0" borderId="0" xfId="1" applyFont="1" applyFill="1" applyBorder="1" applyAlignment="1">
      <alignment horizontal="left" vertical="center"/>
    </xf>
    <xf numFmtId="43" fontId="3" fillId="0" borderId="15" xfId="1" applyFont="1" applyBorder="1" applyAlignment="1">
      <alignment horizontal="left" vertical="center" indent="2"/>
    </xf>
    <xf numFmtId="43" fontId="0" fillId="0" borderId="0" xfId="1" applyFont="1" applyBorder="1" applyAlignment="1">
      <alignment horizontal="center" vertical="center"/>
    </xf>
    <xf numFmtId="165" fontId="3" fillId="0" borderId="46" xfId="1" applyNumberFormat="1" applyFont="1" applyBorder="1" applyAlignment="1">
      <alignment vertical="center"/>
    </xf>
    <xf numFmtId="43" fontId="3" fillId="0" borderId="47" xfId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43" fontId="20" fillId="0" borderId="0" xfId="1" applyFont="1" applyFill="1" applyBorder="1" applyAlignment="1">
      <alignment horizontal="left"/>
    </xf>
    <xf numFmtId="43" fontId="5" fillId="2" borderId="25" xfId="1" quotePrefix="1" applyFont="1" applyFill="1" applyBorder="1" applyAlignment="1">
      <alignment horizontal="center" vertical="center"/>
    </xf>
    <xf numFmtId="43" fontId="5" fillId="2" borderId="25" xfId="1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166" fontId="5" fillId="2" borderId="25" xfId="1" applyNumberFormat="1" applyFont="1" applyFill="1" applyBorder="1" applyAlignment="1">
      <alignment horizontal="center" vertical="center"/>
    </xf>
    <xf numFmtId="43" fontId="24" fillId="2" borderId="52" xfId="1" quotePrefix="1" applyFont="1" applyFill="1" applyBorder="1" applyAlignment="1">
      <alignment horizontal="left" vertical="center"/>
    </xf>
    <xf numFmtId="43" fontId="24" fillId="4" borderId="0" xfId="1" quotePrefix="1" applyFont="1" applyFill="1" applyBorder="1" applyAlignment="1">
      <alignment horizontal="left" vertical="center"/>
    </xf>
    <xf numFmtId="43" fontId="24" fillId="2" borderId="0" xfId="1" quotePrefix="1" applyFont="1" applyFill="1" applyBorder="1" applyAlignment="1">
      <alignment horizontal="left" vertical="center"/>
    </xf>
    <xf numFmtId="43" fontId="23" fillId="2" borderId="52" xfId="1" applyFont="1" applyFill="1" applyBorder="1" applyAlignment="1">
      <alignment vertical="center"/>
    </xf>
    <xf numFmtId="165" fontId="24" fillId="2" borderId="52" xfId="1" applyNumberFormat="1" applyFont="1" applyFill="1" applyBorder="1" applyAlignment="1">
      <alignment horizontal="center" vertical="center"/>
    </xf>
    <xf numFmtId="165" fontId="23" fillId="2" borderId="52" xfId="1" applyNumberFormat="1" applyFont="1" applyFill="1" applyBorder="1" applyAlignment="1">
      <alignment vertical="center"/>
    </xf>
    <xf numFmtId="166" fontId="23" fillId="2" borderId="52" xfId="1" applyNumberFormat="1" applyFont="1" applyFill="1" applyBorder="1" applyAlignment="1">
      <alignment vertical="center"/>
    </xf>
    <xf numFmtId="166" fontId="23" fillId="4" borderId="0" xfId="1" applyNumberFormat="1" applyFont="1" applyFill="1" applyBorder="1" applyAlignment="1">
      <alignment vertical="center"/>
    </xf>
    <xf numFmtId="166" fontId="23" fillId="2" borderId="0" xfId="1" applyNumberFormat="1" applyFont="1" applyFill="1" applyBorder="1" applyAlignment="1">
      <alignment vertical="center"/>
    </xf>
    <xf numFmtId="43" fontId="23" fillId="4" borderId="0" xfId="1" applyFont="1" applyFill="1" applyBorder="1" applyAlignment="1">
      <alignment vertical="center"/>
    </xf>
    <xf numFmtId="165" fontId="24" fillId="4" borderId="0" xfId="1" applyNumberFormat="1" applyFont="1" applyFill="1" applyBorder="1" applyAlignment="1">
      <alignment horizontal="center" vertical="center"/>
    </xf>
    <xf numFmtId="165" fontId="23" fillId="4" borderId="0" xfId="1" applyNumberFormat="1" applyFont="1" applyFill="1" applyBorder="1" applyAlignment="1">
      <alignment vertical="center"/>
    </xf>
    <xf numFmtId="43" fontId="23" fillId="2" borderId="0" xfId="1" applyFont="1" applyFill="1" applyBorder="1" applyAlignment="1">
      <alignment vertical="center"/>
    </xf>
    <xf numFmtId="165" fontId="24" fillId="2" borderId="0" xfId="1" applyNumberFormat="1" applyFont="1" applyFill="1" applyBorder="1" applyAlignment="1">
      <alignment horizontal="center" vertical="center"/>
    </xf>
    <xf numFmtId="165" fontId="23" fillId="2" borderId="0" xfId="1" applyNumberFormat="1" applyFont="1" applyFill="1" applyBorder="1" applyAlignment="1">
      <alignment vertical="center"/>
    </xf>
    <xf numFmtId="0" fontId="16" fillId="0" borderId="0" xfId="0" quotePrefix="1" applyFont="1" applyAlignment="1">
      <alignment vertical="center"/>
    </xf>
    <xf numFmtId="0" fontId="16" fillId="0" borderId="0" xfId="0" quotePrefix="1" applyFont="1" applyAlignment="1">
      <alignment horizontal="left" vertical="center"/>
    </xf>
    <xf numFmtId="43" fontId="16" fillId="0" borderId="0" xfId="1" quotePrefix="1" applyFont="1" applyFill="1" applyBorder="1" applyAlignment="1">
      <alignment horizontal="left" vertical="center"/>
    </xf>
    <xf numFmtId="43" fontId="0" fillId="0" borderId="0" xfId="1" applyFont="1" applyFill="1" applyBorder="1" applyAlignment="1">
      <alignment vertical="center"/>
    </xf>
    <xf numFmtId="165" fontId="16" fillId="0" borderId="0" xfId="1" applyNumberFormat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>
      <alignment vertical="center"/>
    </xf>
    <xf numFmtId="166" fontId="0" fillId="0" borderId="0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3" fontId="0" fillId="0" borderId="0" xfId="1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43" fontId="25" fillId="2" borderId="56" xfId="1" quotePrefix="1" applyFont="1" applyFill="1" applyBorder="1" applyAlignment="1">
      <alignment horizontal="center" vertical="center"/>
    </xf>
    <xf numFmtId="43" fontId="25" fillId="2" borderId="56" xfId="1" applyFont="1" applyFill="1" applyBorder="1" applyAlignment="1">
      <alignment horizontal="center" vertical="center"/>
    </xf>
    <xf numFmtId="165" fontId="27" fillId="2" borderId="57" xfId="1" quotePrefix="1" applyNumberFormat="1" applyFont="1" applyFill="1" applyBorder="1" applyAlignment="1">
      <alignment horizontal="left" vertical="center"/>
    </xf>
    <xf numFmtId="165" fontId="3" fillId="2" borderId="57" xfId="1" applyNumberFormat="1" applyFont="1" applyFill="1" applyBorder="1" applyAlignment="1">
      <alignment vertical="center"/>
    </xf>
    <xf numFmtId="165" fontId="27" fillId="2" borderId="57" xfId="1" applyNumberFormat="1" applyFont="1" applyFill="1" applyBorder="1" applyAlignment="1">
      <alignment horizontal="center" vertical="center"/>
    </xf>
    <xf numFmtId="165" fontId="27" fillId="0" borderId="58" xfId="1" quotePrefix="1" applyNumberFormat="1" applyFont="1" applyBorder="1" applyAlignment="1">
      <alignment horizontal="left" vertical="center"/>
    </xf>
    <xf numFmtId="165" fontId="3" fillId="0" borderId="58" xfId="1" applyNumberFormat="1" applyFont="1" applyBorder="1" applyAlignment="1">
      <alignment vertical="center"/>
    </xf>
    <xf numFmtId="165" fontId="27" fillId="0" borderId="58" xfId="1" applyNumberFormat="1" applyFont="1" applyBorder="1" applyAlignment="1">
      <alignment horizontal="center" vertical="center"/>
    </xf>
    <xf numFmtId="165" fontId="27" fillId="2" borderId="58" xfId="1" quotePrefix="1" applyNumberFormat="1" applyFont="1" applyFill="1" applyBorder="1" applyAlignment="1">
      <alignment horizontal="left" vertical="center"/>
    </xf>
    <xf numFmtId="165" fontId="3" fillId="2" borderId="58" xfId="1" applyNumberFormat="1" applyFont="1" applyFill="1" applyBorder="1" applyAlignment="1">
      <alignment vertical="center"/>
    </xf>
    <xf numFmtId="165" fontId="27" fillId="2" borderId="58" xfId="1" applyNumberFormat="1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vertical="center"/>
    </xf>
    <xf numFmtId="0" fontId="2" fillId="2" borderId="59" xfId="0" applyFont="1" applyFill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65" fontId="3" fillId="0" borderId="59" xfId="0" applyNumberFormat="1" applyFont="1" applyBorder="1" applyAlignment="1">
      <alignment vertical="center"/>
    </xf>
    <xf numFmtId="0" fontId="27" fillId="2" borderId="59" xfId="0" applyFont="1" applyFill="1" applyBorder="1" applyAlignment="1">
      <alignment horizontal="center" vertical="center"/>
    </xf>
    <xf numFmtId="165" fontId="3" fillId="2" borderId="59" xfId="0" applyNumberFormat="1" applyFont="1" applyFill="1" applyBorder="1" applyAlignment="1">
      <alignment vertical="center"/>
    </xf>
    <xf numFmtId="165" fontId="28" fillId="0" borderId="59" xfId="1" applyNumberFormat="1" applyFont="1" applyBorder="1" applyAlignment="1">
      <alignment vertical="center"/>
    </xf>
    <xf numFmtId="0" fontId="0" fillId="0" borderId="60" xfId="0" applyBorder="1"/>
    <xf numFmtId="0" fontId="0" fillId="0" borderId="62" xfId="0" applyBorder="1"/>
    <xf numFmtId="165" fontId="0" fillId="0" borderId="9" xfId="1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4" fontId="9" fillId="3" borderId="20" xfId="0" applyNumberFormat="1" applyFont="1" applyFill="1" applyBorder="1" applyAlignment="1">
      <alignment vertical="center"/>
    </xf>
    <xf numFmtId="0" fontId="9" fillId="3" borderId="20" xfId="0" applyFont="1" applyFill="1" applyBorder="1" applyAlignment="1">
      <alignment horizontal="center" vertical="center"/>
    </xf>
    <xf numFmtId="165" fontId="9" fillId="0" borderId="20" xfId="1" applyNumberFormat="1" applyFont="1" applyBorder="1" applyAlignment="1">
      <alignment horizontal="center" vertical="center"/>
    </xf>
    <xf numFmtId="0" fontId="23" fillId="2" borderId="71" xfId="0" quotePrefix="1" applyFont="1" applyFill="1" applyBorder="1" applyAlignment="1">
      <alignment horizontal="center" vertical="center"/>
    </xf>
    <xf numFmtId="43" fontId="23" fillId="2" borderId="72" xfId="1" applyFont="1" applyFill="1" applyBorder="1" applyAlignment="1">
      <alignment vertical="center"/>
    </xf>
    <xf numFmtId="0" fontId="23" fillId="4" borderId="73" xfId="0" quotePrefix="1" applyFont="1" applyFill="1" applyBorder="1" applyAlignment="1">
      <alignment horizontal="center" vertical="center"/>
    </xf>
    <xf numFmtId="0" fontId="23" fillId="2" borderId="73" xfId="0" quotePrefix="1" applyFont="1" applyFill="1" applyBorder="1" applyAlignment="1">
      <alignment horizontal="center" vertical="center"/>
    </xf>
    <xf numFmtId="0" fontId="23" fillId="2" borderId="39" xfId="0" quotePrefix="1" applyFont="1" applyFill="1" applyBorder="1" applyAlignment="1">
      <alignment horizontal="center" vertical="center"/>
    </xf>
    <xf numFmtId="43" fontId="24" fillId="2" borderId="41" xfId="1" quotePrefix="1" applyFont="1" applyFill="1" applyBorder="1" applyAlignment="1">
      <alignment horizontal="left" vertical="center"/>
    </xf>
    <xf numFmtId="43" fontId="23" fillId="2" borderId="41" xfId="1" applyFont="1" applyFill="1" applyBorder="1" applyAlignment="1">
      <alignment vertical="center"/>
    </xf>
    <xf numFmtId="165" fontId="24" fillId="2" borderId="41" xfId="1" applyNumberFormat="1" applyFont="1" applyFill="1" applyBorder="1" applyAlignment="1">
      <alignment horizontal="center" vertical="center"/>
    </xf>
    <xf numFmtId="165" fontId="23" fillId="2" borderId="41" xfId="1" applyNumberFormat="1" applyFont="1" applyFill="1" applyBorder="1" applyAlignment="1">
      <alignment vertical="center"/>
    </xf>
    <xf numFmtId="166" fontId="23" fillId="2" borderId="41" xfId="1" applyNumberFormat="1" applyFont="1" applyFill="1" applyBorder="1" applyAlignment="1">
      <alignment vertical="center"/>
    </xf>
    <xf numFmtId="43" fontId="23" fillId="2" borderId="74" xfId="1" applyFont="1" applyFill="1" applyBorder="1" applyAlignment="1">
      <alignment vertical="center"/>
    </xf>
    <xf numFmtId="43" fontId="23" fillId="0" borderId="72" xfId="1" applyFont="1" applyFill="1" applyBorder="1" applyAlignment="1">
      <alignment vertical="center"/>
    </xf>
    <xf numFmtId="0" fontId="27" fillId="2" borderId="80" xfId="0" quotePrefix="1" applyFont="1" applyFill="1" applyBorder="1" applyAlignment="1">
      <alignment horizontal="center" vertical="center"/>
    </xf>
    <xf numFmtId="165" fontId="3" fillId="2" borderId="81" xfId="1" applyNumberFormat="1" applyFont="1" applyFill="1" applyBorder="1" applyAlignment="1">
      <alignment vertical="center"/>
    </xf>
    <xf numFmtId="0" fontId="27" fillId="0" borderId="82" xfId="0" quotePrefix="1" applyFont="1" applyBorder="1" applyAlignment="1">
      <alignment horizontal="center" vertical="center"/>
    </xf>
    <xf numFmtId="0" fontId="27" fillId="2" borderId="82" xfId="0" quotePrefix="1" applyFont="1" applyFill="1" applyBorder="1" applyAlignment="1">
      <alignment horizontal="center" vertical="center"/>
    </xf>
    <xf numFmtId="0" fontId="27" fillId="2" borderId="83" xfId="0" quotePrefix="1" applyFont="1" applyFill="1" applyBorder="1" applyAlignment="1">
      <alignment horizontal="center" vertical="center"/>
    </xf>
    <xf numFmtId="43" fontId="27" fillId="2" borderId="84" xfId="1" quotePrefix="1" applyFont="1" applyFill="1" applyBorder="1" applyAlignment="1">
      <alignment horizontal="left" vertical="center"/>
    </xf>
    <xf numFmtId="165" fontId="3" fillId="2" borderId="84" xfId="1" applyNumberFormat="1" applyFont="1" applyFill="1" applyBorder="1" applyAlignment="1">
      <alignment vertical="center"/>
    </xf>
    <xf numFmtId="165" fontId="27" fillId="2" borderId="84" xfId="1" applyNumberFormat="1" applyFont="1" applyFill="1" applyBorder="1" applyAlignment="1">
      <alignment horizontal="center" vertical="center"/>
    </xf>
    <xf numFmtId="165" fontId="3" fillId="0" borderId="85" xfId="1" applyNumberFormat="1" applyFont="1" applyFill="1" applyBorder="1" applyAlignment="1">
      <alignment vertical="center"/>
    </xf>
    <xf numFmtId="165" fontId="3" fillId="2" borderId="85" xfId="1" applyNumberFormat="1" applyFont="1" applyFill="1" applyBorder="1" applyAlignment="1">
      <alignment vertical="center"/>
    </xf>
    <xf numFmtId="165" fontId="3" fillId="2" borderId="86" xfId="1" applyNumberFormat="1" applyFont="1" applyFill="1" applyBorder="1" applyAlignmen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88" xfId="0" applyBorder="1" applyAlignment="1">
      <alignment horizontal="left" vertical="center"/>
    </xf>
    <xf numFmtId="0" fontId="0" fillId="0" borderId="90" xfId="0" applyBorder="1" applyAlignment="1">
      <alignment horizontal="left" vertical="center"/>
    </xf>
    <xf numFmtId="43" fontId="3" fillId="0" borderId="15" xfId="1" applyFont="1" applyBorder="1" applyAlignment="1">
      <alignment horizontal="center" vertical="center"/>
    </xf>
    <xf numFmtId="43" fontId="3" fillId="0" borderId="92" xfId="1" applyFont="1" applyBorder="1" applyAlignment="1">
      <alignment horizontal="center" vertical="center"/>
    </xf>
    <xf numFmtId="0" fontId="3" fillId="0" borderId="92" xfId="0" applyFont="1" applyBorder="1" applyAlignment="1">
      <alignment horizontal="center" vertical="center"/>
    </xf>
    <xf numFmtId="168" fontId="0" fillId="0" borderId="9" xfId="0" applyNumberFormat="1" applyFill="1" applyBorder="1" applyAlignment="1">
      <alignment horizontal="left" vertical="center"/>
    </xf>
    <xf numFmtId="165" fontId="0" fillId="0" borderId="0" xfId="1" applyNumberFormat="1" applyFont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165" fontId="0" fillId="0" borderId="91" xfId="1" applyNumberFormat="1" applyFont="1" applyBorder="1" applyAlignment="1">
      <alignment horizontal="center" vertical="center"/>
    </xf>
    <xf numFmtId="165" fontId="0" fillId="0" borderId="89" xfId="1" applyNumberFormat="1" applyFont="1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165" fontId="0" fillId="0" borderId="91" xfId="1" applyNumberFormat="1" applyFont="1" applyBorder="1" applyAlignment="1">
      <alignment horizontal="center" vertical="center"/>
    </xf>
    <xf numFmtId="165" fontId="0" fillId="0" borderId="89" xfId="1" applyNumberFormat="1" applyFont="1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165" fontId="0" fillId="0" borderId="98" xfId="0" applyNumberFormat="1" applyBorder="1" applyAlignment="1">
      <alignment horizontal="left" vertical="center"/>
    </xf>
    <xf numFmtId="165" fontId="0" fillId="0" borderId="99" xfId="0" applyNumberFormat="1" applyBorder="1" applyAlignment="1">
      <alignment horizontal="left" vertical="center"/>
    </xf>
    <xf numFmtId="165" fontId="2" fillId="5" borderId="92" xfId="0" applyNumberFormat="1" applyFont="1" applyFill="1" applyBorder="1" applyAlignment="1">
      <alignment horizontal="left" vertical="center"/>
    </xf>
    <xf numFmtId="165" fontId="0" fillId="0" borderId="91" xfId="1" applyNumberFormat="1" applyFont="1" applyBorder="1" applyAlignment="1">
      <alignment horizontal="center" vertical="center"/>
    </xf>
    <xf numFmtId="165" fontId="0" fillId="0" borderId="89" xfId="1" applyNumberFormat="1" applyFont="1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168" fontId="0" fillId="0" borderId="0" xfId="0" applyNumberFormat="1" applyFont="1" applyFill="1" applyBorder="1" applyAlignment="1">
      <alignment horizontal="center" vertical="center"/>
    </xf>
    <xf numFmtId="168" fontId="0" fillId="0" borderId="0" xfId="0" applyNumberFormat="1" applyFill="1" applyBorder="1" applyAlignment="1">
      <alignment horizontal="left" vertical="center"/>
    </xf>
    <xf numFmtId="165" fontId="0" fillId="0" borderId="0" xfId="1" applyNumberFormat="1" applyFont="1" applyBorder="1" applyAlignment="1">
      <alignment horizontal="center" vertical="center"/>
    </xf>
    <xf numFmtId="169" fontId="0" fillId="0" borderId="0" xfId="0" applyNumberFormat="1" applyBorder="1" applyAlignment="1">
      <alignment horizontal="left" vertical="center"/>
    </xf>
    <xf numFmtId="43" fontId="1" fillId="0" borderId="0" xfId="1" applyFont="1" applyFill="1" applyBorder="1" applyAlignment="1">
      <alignment horizontal="left" vertical="center"/>
    </xf>
    <xf numFmtId="165" fontId="0" fillId="0" borderId="20" xfId="1" applyNumberFormat="1" applyFont="1" applyBorder="1" applyAlignment="1">
      <alignment horizontal="center" vertical="center"/>
    </xf>
    <xf numFmtId="165" fontId="0" fillId="0" borderId="20" xfId="1" applyNumberFormat="1" applyFont="1" applyBorder="1"/>
    <xf numFmtId="0" fontId="2" fillId="2" borderId="110" xfId="0" applyFont="1" applyFill="1" applyBorder="1" applyAlignment="1">
      <alignment horizontal="center" vertical="center"/>
    </xf>
    <xf numFmtId="165" fontId="0" fillId="0" borderId="102" xfId="1" applyNumberFormat="1" applyFont="1" applyBorder="1" applyAlignment="1">
      <alignment horizontal="center" vertical="center"/>
    </xf>
    <xf numFmtId="165" fontId="0" fillId="0" borderId="102" xfId="1" applyNumberFormat="1" applyFont="1" applyBorder="1"/>
    <xf numFmtId="0" fontId="0" fillId="0" borderId="110" xfId="0" applyBorder="1" applyAlignment="1">
      <alignment horizontal="center" vertical="center"/>
    </xf>
    <xf numFmtId="165" fontId="7" fillId="0" borderId="110" xfId="1" applyNumberFormat="1" applyFont="1" applyBorder="1" applyAlignment="1">
      <alignment horizontal="center" vertical="center"/>
    </xf>
    <xf numFmtId="165" fontId="0" fillId="0" borderId="110" xfId="1" applyNumberFormat="1" applyFont="1" applyBorder="1" applyAlignment="1">
      <alignment horizontal="center" vertical="center"/>
    </xf>
    <xf numFmtId="0" fontId="2" fillId="0" borderId="101" xfId="0" applyFont="1" applyBorder="1" applyAlignment="1">
      <alignment horizontal="left" vertical="center"/>
    </xf>
    <xf numFmtId="0" fontId="2" fillId="0" borderId="114" xfId="0" applyFont="1" applyBorder="1" applyAlignment="1">
      <alignment horizontal="left" vertical="center"/>
    </xf>
    <xf numFmtId="0" fontId="2" fillId="0" borderId="109" xfId="0" applyFont="1" applyBorder="1" applyAlignment="1">
      <alignment horizontal="left" vertical="center"/>
    </xf>
    <xf numFmtId="9" fontId="2" fillId="0" borderId="102" xfId="3" applyFont="1" applyBorder="1" applyAlignment="1">
      <alignment horizontal="center" vertical="center"/>
    </xf>
    <xf numFmtId="9" fontId="2" fillId="0" borderId="20" xfId="3" applyFont="1" applyBorder="1" applyAlignment="1">
      <alignment horizontal="center" vertical="center"/>
    </xf>
    <xf numFmtId="9" fontId="2" fillId="0" borderId="110" xfId="3" applyFont="1" applyBorder="1" applyAlignment="1">
      <alignment horizontal="center" vertical="center"/>
    </xf>
    <xf numFmtId="9" fontId="2" fillId="0" borderId="112" xfId="3" applyFont="1" applyBorder="1" applyAlignment="1">
      <alignment horizontal="center" vertical="center"/>
    </xf>
    <xf numFmtId="165" fontId="0" fillId="0" borderId="10" xfId="1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0" borderId="20" xfId="0" applyFont="1" applyBorder="1" applyAlignment="1">
      <alignment horizontal="left" vertical="center"/>
    </xf>
    <xf numFmtId="0" fontId="30" fillId="0" borderId="20" xfId="0" applyFont="1" applyBorder="1" applyAlignment="1">
      <alignment horizontal="center" vertical="center"/>
    </xf>
    <xf numFmtId="0" fontId="31" fillId="6" borderId="19" xfId="0" applyFont="1" applyFill="1" applyBorder="1" applyAlignment="1">
      <alignment horizontal="center" vertical="center" wrapText="1"/>
    </xf>
    <xf numFmtId="0" fontId="31" fillId="6" borderId="19" xfId="0" applyFont="1" applyFill="1" applyBorder="1" applyAlignment="1">
      <alignment horizontal="center" vertical="center"/>
    </xf>
    <xf numFmtId="165" fontId="30" fillId="0" borderId="20" xfId="1" applyNumberFormat="1" applyFont="1" applyBorder="1" applyAlignment="1">
      <alignment horizontal="center" vertical="center"/>
    </xf>
    <xf numFmtId="0" fontId="31" fillId="7" borderId="35" xfId="0" applyFont="1" applyFill="1" applyBorder="1" applyAlignment="1">
      <alignment horizontal="center" vertical="center"/>
    </xf>
    <xf numFmtId="0" fontId="31" fillId="7" borderId="36" xfId="0" applyFont="1" applyFill="1" applyBorder="1" applyAlignment="1">
      <alignment horizontal="center" vertical="center"/>
    </xf>
    <xf numFmtId="0" fontId="31" fillId="7" borderId="20" xfId="0" applyFont="1" applyFill="1" applyBorder="1" applyAlignment="1">
      <alignment horizontal="center" vertical="center"/>
    </xf>
    <xf numFmtId="0" fontId="31" fillId="7" borderId="0" xfId="0" applyFont="1" applyFill="1" applyBorder="1" applyAlignment="1">
      <alignment horizontal="center" vertical="center"/>
    </xf>
    <xf numFmtId="165" fontId="31" fillId="7" borderId="118" xfId="1" applyNumberFormat="1" applyFont="1" applyFill="1" applyBorder="1" applyAlignment="1">
      <alignment horizontal="center" vertical="center"/>
    </xf>
    <xf numFmtId="0" fontId="30" fillId="7" borderId="20" xfId="0" applyFont="1" applyFill="1" applyBorder="1" applyAlignment="1">
      <alignment horizontal="center" vertical="center"/>
    </xf>
    <xf numFmtId="0" fontId="30" fillId="7" borderId="0" xfId="0" applyFont="1" applyFill="1" applyBorder="1" applyAlignment="1">
      <alignment horizontal="center" vertical="center"/>
    </xf>
    <xf numFmtId="43" fontId="30" fillId="7" borderId="20" xfId="1" applyFont="1" applyFill="1" applyBorder="1" applyAlignment="1">
      <alignment horizontal="center" vertical="center"/>
    </xf>
    <xf numFmtId="0" fontId="30" fillId="7" borderId="38" xfId="0" applyFont="1" applyFill="1" applyBorder="1" applyAlignment="1">
      <alignment horizontal="center" vertical="center"/>
    </xf>
    <xf numFmtId="0" fontId="30" fillId="7" borderId="110" xfId="0" applyFont="1" applyFill="1" applyBorder="1" applyAlignment="1">
      <alignment horizontal="center" vertical="center"/>
    </xf>
    <xf numFmtId="0" fontId="30" fillId="7" borderId="61" xfId="0" applyFont="1" applyFill="1" applyBorder="1" applyAlignment="1">
      <alignment horizontal="center" vertical="center"/>
    </xf>
    <xf numFmtId="0" fontId="30" fillId="7" borderId="62" xfId="0" applyFont="1" applyFill="1" applyBorder="1" applyAlignment="1">
      <alignment horizontal="center" vertical="center"/>
    </xf>
    <xf numFmtId="0" fontId="30" fillId="0" borderId="102" xfId="0" applyFont="1" applyBorder="1" applyAlignment="1">
      <alignment horizontal="center" vertical="center"/>
    </xf>
    <xf numFmtId="0" fontId="30" fillId="0" borderId="102" xfId="0" applyFont="1" applyBorder="1" applyAlignment="1">
      <alignment horizontal="left" vertical="center"/>
    </xf>
    <xf numFmtId="165" fontId="30" fillId="0" borderId="102" xfId="1" applyNumberFormat="1" applyFont="1" applyBorder="1" applyAlignment="1">
      <alignment horizontal="center" vertical="center"/>
    </xf>
    <xf numFmtId="165" fontId="0" fillId="0" borderId="91" xfId="1" applyNumberFormat="1" applyFont="1" applyBorder="1" applyAlignment="1">
      <alignment horizontal="center" vertical="center"/>
    </xf>
    <xf numFmtId="165" fontId="0" fillId="0" borderId="89" xfId="1" applyNumberFormat="1" applyFont="1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0" fontId="7" fillId="0" borderId="125" xfId="0" applyFont="1" applyFill="1" applyBorder="1" applyAlignment="1">
      <alignment horizontal="left" vertical="center"/>
    </xf>
    <xf numFmtId="0" fontId="7" fillId="0" borderId="126" xfId="0" applyFont="1" applyFill="1" applyBorder="1" applyAlignment="1">
      <alignment horizontal="center" vertical="center"/>
    </xf>
    <xf numFmtId="0" fontId="2" fillId="0" borderId="127" xfId="0" applyFont="1" applyBorder="1" applyAlignment="1">
      <alignment horizontal="left" vertical="center"/>
    </xf>
    <xf numFmtId="0" fontId="2" fillId="0" borderId="128" xfId="0" applyFont="1" applyBorder="1" applyAlignment="1">
      <alignment horizontal="left" vertical="center"/>
    </xf>
    <xf numFmtId="0" fontId="6" fillId="0" borderId="41" xfId="0" applyFont="1" applyBorder="1" applyAlignment="1">
      <alignment vertical="center"/>
    </xf>
    <xf numFmtId="0" fontId="6" fillId="0" borderId="4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65" fontId="0" fillId="0" borderId="130" xfId="1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30" fillId="0" borderId="37" xfId="0" applyFont="1" applyBorder="1" applyAlignment="1">
      <alignment horizontal="center" vertical="center"/>
    </xf>
    <xf numFmtId="0" fontId="30" fillId="0" borderId="6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left" vertical="center"/>
    </xf>
    <xf numFmtId="0" fontId="2" fillId="0" borderId="122" xfId="0" applyFont="1" applyBorder="1" applyAlignment="1">
      <alignment horizontal="center" vertical="center"/>
    </xf>
    <xf numFmtId="0" fontId="2" fillId="0" borderId="123" xfId="0" applyFont="1" applyBorder="1" applyAlignment="1">
      <alignment horizontal="center" vertical="center"/>
    </xf>
    <xf numFmtId="0" fontId="2" fillId="0" borderId="124" xfId="0" applyFont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2" xfId="0" applyBorder="1" applyAlignment="1">
      <alignment horizontal="left" vertical="center"/>
    </xf>
    <xf numFmtId="0" fontId="0" fillId="0" borderId="110" xfId="0" applyBorder="1" applyAlignment="1">
      <alignment horizontal="left" vertical="center"/>
    </xf>
    <xf numFmtId="0" fontId="2" fillId="2" borderId="133" xfId="0" applyFont="1" applyFill="1" applyBorder="1" applyAlignment="1">
      <alignment horizontal="center" vertical="center"/>
    </xf>
    <xf numFmtId="165" fontId="0" fillId="0" borderId="119" xfId="1" applyNumberFormat="1" applyFont="1" applyBorder="1" applyAlignment="1">
      <alignment horizontal="center" vertical="center"/>
    </xf>
    <xf numFmtId="165" fontId="0" fillId="0" borderId="134" xfId="1" applyNumberFormat="1" applyFont="1" applyBorder="1" applyAlignment="1">
      <alignment horizontal="center" vertical="center"/>
    </xf>
    <xf numFmtId="0" fontId="2" fillId="2" borderId="135" xfId="0" applyFont="1" applyFill="1" applyBorder="1" applyAlignment="1">
      <alignment horizontal="center" vertical="center"/>
    </xf>
    <xf numFmtId="0" fontId="2" fillId="2" borderId="136" xfId="0" applyFont="1" applyFill="1" applyBorder="1" applyAlignment="1">
      <alignment horizontal="center" vertical="center"/>
    </xf>
    <xf numFmtId="165" fontId="0" fillId="0" borderId="135" xfId="1" applyNumberFormat="1" applyFont="1" applyBorder="1" applyAlignment="1">
      <alignment horizontal="center" vertical="center"/>
    </xf>
    <xf numFmtId="165" fontId="0" fillId="0" borderId="33" xfId="1" applyNumberFormat="1" applyFont="1" applyBorder="1" applyAlignment="1">
      <alignment horizontal="center" vertical="center"/>
    </xf>
    <xf numFmtId="165" fontId="0" fillId="0" borderId="29" xfId="1" applyNumberFormat="1" applyFont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168" fontId="0" fillId="0" borderId="137" xfId="0" applyNumberFormat="1" applyFill="1" applyBorder="1" applyAlignment="1">
      <alignment horizontal="left" vertical="center"/>
    </xf>
    <xf numFmtId="165" fontId="0" fillId="0" borderId="137" xfId="1" applyNumberFormat="1" applyFont="1" applyBorder="1" applyAlignment="1">
      <alignment horizontal="center" vertical="center"/>
    </xf>
    <xf numFmtId="165" fontId="0" fillId="0" borderId="138" xfId="1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4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165" fontId="0" fillId="0" borderId="141" xfId="1" applyNumberFormat="1" applyFont="1" applyBorder="1" applyAlignment="1">
      <alignment horizontal="center" vertical="center"/>
    </xf>
    <xf numFmtId="165" fontId="0" fillId="0" borderId="142" xfId="1" applyNumberFormat="1" applyFont="1" applyBorder="1" applyAlignment="1">
      <alignment horizontal="center" vertical="center"/>
    </xf>
    <xf numFmtId="165" fontId="0" fillId="0" borderId="143" xfId="1" applyNumberFormat="1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5" fontId="0" fillId="0" borderId="24" xfId="1" applyNumberFormat="1" applyFont="1" applyBorder="1" applyAlignment="1">
      <alignment horizontal="center" vertical="center"/>
    </xf>
    <xf numFmtId="165" fontId="0" fillId="0" borderId="8" xfId="1" applyNumberFormat="1" applyFont="1" applyBorder="1" applyAlignment="1">
      <alignment horizontal="center" vertical="center"/>
    </xf>
    <xf numFmtId="165" fontId="0" fillId="0" borderId="9" xfId="1" applyNumberFormat="1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165" fontId="0" fillId="0" borderId="131" xfId="1" applyNumberFormat="1" applyFont="1" applyBorder="1" applyAlignment="1">
      <alignment horizontal="center" vertical="center"/>
    </xf>
    <xf numFmtId="43" fontId="0" fillId="0" borderId="138" xfId="1" applyNumberFormat="1" applyFont="1" applyBorder="1" applyAlignment="1">
      <alignment horizontal="center" vertical="center"/>
    </xf>
    <xf numFmtId="165" fontId="0" fillId="0" borderId="146" xfId="1" applyNumberFormat="1" applyFont="1" applyBorder="1" applyAlignment="1">
      <alignment horizontal="center" vertical="center"/>
    </xf>
    <xf numFmtId="0" fontId="0" fillId="0" borderId="147" xfId="0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165" fontId="0" fillId="0" borderId="91" xfId="1" applyNumberFormat="1" applyFont="1" applyBorder="1" applyAlignment="1">
      <alignment horizontal="center" vertical="center"/>
    </xf>
    <xf numFmtId="165" fontId="0" fillId="0" borderId="89" xfId="1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28" xfId="0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165" fontId="0" fillId="0" borderId="149" xfId="1" applyNumberFormat="1" applyFont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 wrapText="1"/>
    </xf>
    <xf numFmtId="165" fontId="34" fillId="0" borderId="102" xfId="1" quotePrefix="1" applyNumberFormat="1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 wrapText="1"/>
    </xf>
    <xf numFmtId="165" fontId="34" fillId="0" borderId="20" xfId="1" quotePrefix="1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 wrapText="1"/>
    </xf>
    <xf numFmtId="0" fontId="34" fillId="0" borderId="110" xfId="0" applyFont="1" applyBorder="1" applyAlignment="1">
      <alignment horizontal="center" vertical="center" wrapText="1"/>
    </xf>
    <xf numFmtId="165" fontId="34" fillId="0" borderId="110" xfId="1" quotePrefix="1" applyNumberFormat="1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 wrapText="1"/>
    </xf>
    <xf numFmtId="0" fontId="33" fillId="0" borderId="102" xfId="0" applyFont="1" applyBorder="1" applyAlignment="1">
      <alignment horizontal="center" vertical="center"/>
    </xf>
    <xf numFmtId="0" fontId="33" fillId="0" borderId="102" xfId="0" applyFont="1" applyBorder="1" applyAlignment="1">
      <alignment horizontal="center" vertical="center" wrapText="1"/>
    </xf>
    <xf numFmtId="0" fontId="34" fillId="0" borderId="103" xfId="0" applyFont="1" applyBorder="1" applyAlignment="1">
      <alignment horizontal="center" vertical="center" wrapText="1"/>
    </xf>
    <xf numFmtId="165" fontId="0" fillId="0" borderId="91" xfId="1" applyNumberFormat="1" applyFont="1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165" fontId="0" fillId="0" borderId="89" xfId="1" applyNumberFormat="1" applyFont="1" applyBorder="1" applyAlignment="1">
      <alignment horizontal="center" vertical="center"/>
    </xf>
    <xf numFmtId="43" fontId="30" fillId="0" borderId="0" xfId="0" applyNumberFormat="1" applyFont="1" applyAlignment="1">
      <alignment horizontal="center" vertical="center"/>
    </xf>
    <xf numFmtId="168" fontId="0" fillId="0" borderId="157" xfId="0" applyNumberFormat="1" applyFill="1" applyBorder="1" applyAlignment="1">
      <alignment horizontal="left" vertical="center"/>
    </xf>
    <xf numFmtId="165" fontId="0" fillId="0" borderId="156" xfId="1" applyNumberFormat="1" applyFont="1" applyBorder="1" applyAlignment="1">
      <alignment horizontal="center" vertical="center"/>
    </xf>
    <xf numFmtId="165" fontId="0" fillId="0" borderId="157" xfId="1" applyNumberFormat="1" applyFont="1" applyBorder="1" applyAlignment="1">
      <alignment horizontal="center" vertical="center"/>
    </xf>
    <xf numFmtId="165" fontId="0" fillId="0" borderId="158" xfId="1" applyNumberFormat="1" applyFont="1" applyBorder="1" applyAlignment="1">
      <alignment horizontal="center" vertical="center"/>
    </xf>
    <xf numFmtId="168" fontId="0" fillId="0" borderId="130" xfId="0" applyNumberFormat="1" applyFill="1" applyBorder="1" applyAlignment="1">
      <alignment horizontal="left" vertical="center"/>
    </xf>
    <xf numFmtId="168" fontId="37" fillId="8" borderId="137" xfId="0" applyNumberFormat="1" applyFont="1" applyFill="1" applyBorder="1" applyAlignment="1">
      <alignment horizontal="center" vertical="center"/>
    </xf>
    <xf numFmtId="165" fontId="0" fillId="0" borderId="91" xfId="1" applyNumberFormat="1" applyFont="1" applyBorder="1" applyAlignment="1">
      <alignment horizontal="center" vertical="center"/>
    </xf>
    <xf numFmtId="165" fontId="0" fillId="0" borderId="89" xfId="1" applyNumberFormat="1" applyFont="1" applyBorder="1" applyAlignment="1">
      <alignment horizontal="center" vertical="center"/>
    </xf>
    <xf numFmtId="165" fontId="0" fillId="0" borderId="137" xfId="1" applyNumberFormat="1" applyFont="1" applyFill="1" applyBorder="1" applyAlignment="1">
      <alignment horizontal="left" vertical="center"/>
    </xf>
    <xf numFmtId="0" fontId="30" fillId="0" borderId="19" xfId="0" applyFont="1" applyBorder="1" applyAlignment="1">
      <alignment horizontal="center" vertical="center"/>
    </xf>
    <xf numFmtId="0" fontId="30" fillId="0" borderId="19" xfId="0" applyFont="1" applyBorder="1" applyAlignment="1">
      <alignment horizontal="left" vertical="center"/>
    </xf>
    <xf numFmtId="165" fontId="30" fillId="0" borderId="19" xfId="1" applyNumberFormat="1" applyFont="1" applyBorder="1" applyAlignment="1">
      <alignment horizontal="center" vertical="center"/>
    </xf>
    <xf numFmtId="165" fontId="0" fillId="0" borderId="9" xfId="1" applyNumberFormat="1" applyFont="1" applyFill="1" applyBorder="1" applyAlignment="1">
      <alignment horizontal="left" vertical="center"/>
    </xf>
    <xf numFmtId="165" fontId="0" fillId="0" borderId="157" xfId="1" applyNumberFormat="1" applyFont="1" applyBorder="1" applyAlignment="1">
      <alignment horizontal="left" vertical="center"/>
    </xf>
    <xf numFmtId="165" fontId="0" fillId="0" borderId="137" xfId="1" applyNumberFormat="1" applyFont="1" applyBorder="1" applyAlignment="1">
      <alignment horizontal="left" vertical="center"/>
    </xf>
    <xf numFmtId="165" fontId="0" fillId="0" borderId="0" xfId="1" applyNumberFormat="1" applyFont="1" applyBorder="1" applyAlignment="1">
      <alignment horizontal="left" vertical="center"/>
    </xf>
    <xf numFmtId="165" fontId="2" fillId="0" borderId="128" xfId="1" applyNumberFormat="1" applyFont="1" applyBorder="1" applyAlignment="1">
      <alignment horizontal="left" vertical="center"/>
    </xf>
    <xf numFmtId="165" fontId="2" fillId="2" borderId="89" xfId="1" applyNumberFormat="1" applyFont="1" applyFill="1" applyBorder="1" applyAlignment="1">
      <alignment horizontal="center" vertical="center"/>
    </xf>
    <xf numFmtId="171" fontId="30" fillId="0" borderId="0" xfId="0" applyNumberFormat="1" applyFont="1" applyAlignment="1">
      <alignment horizontal="center" vertical="center"/>
    </xf>
    <xf numFmtId="0" fontId="2" fillId="2" borderId="161" xfId="0" applyFont="1" applyFill="1" applyBorder="1" applyAlignment="1">
      <alignment horizontal="center" vertical="center"/>
    </xf>
    <xf numFmtId="168" fontId="0" fillId="0" borderId="159" xfId="0" applyNumberFormat="1" applyFill="1" applyBorder="1" applyAlignment="1">
      <alignment horizontal="left" vertical="center"/>
    </xf>
    <xf numFmtId="165" fontId="0" fillId="0" borderId="159" xfId="1" applyNumberFormat="1" applyFont="1" applyBorder="1" applyAlignment="1">
      <alignment horizontal="center" vertical="center"/>
    </xf>
    <xf numFmtId="165" fontId="0" fillId="0" borderId="159" xfId="1" applyNumberFormat="1" applyFont="1" applyFill="1" applyBorder="1" applyAlignment="1">
      <alignment horizontal="left" vertical="center"/>
    </xf>
    <xf numFmtId="0" fontId="30" fillId="0" borderId="63" xfId="0" applyFont="1" applyBorder="1" applyAlignment="1">
      <alignment horizontal="center" vertical="center"/>
    </xf>
    <xf numFmtId="0" fontId="31" fillId="2" borderId="91" xfId="0" applyFont="1" applyFill="1" applyBorder="1" applyAlignment="1">
      <alignment horizontal="center" vertical="center" wrapText="1"/>
    </xf>
    <xf numFmtId="165" fontId="30" fillId="0" borderId="170" xfId="1" applyNumberFormat="1" applyFont="1" applyBorder="1" applyAlignment="1">
      <alignment vertical="center"/>
    </xf>
    <xf numFmtId="165" fontId="30" fillId="0" borderId="170" xfId="1" applyNumberFormat="1" applyFont="1" applyBorder="1" applyAlignment="1">
      <alignment horizontal="center" vertical="center"/>
    </xf>
    <xf numFmtId="165" fontId="30" fillId="0" borderId="171" xfId="1" applyNumberFormat="1" applyFont="1" applyBorder="1" applyAlignment="1">
      <alignment vertical="center"/>
    </xf>
    <xf numFmtId="165" fontId="30" fillId="0" borderId="173" xfId="1" applyNumberFormat="1" applyFont="1" applyBorder="1" applyAlignment="1">
      <alignment vertical="center"/>
    </xf>
    <xf numFmtId="165" fontId="30" fillId="0" borderId="173" xfId="1" applyNumberFormat="1" applyFont="1" applyBorder="1" applyAlignment="1">
      <alignment horizontal="center" vertical="center"/>
    </xf>
    <xf numFmtId="9" fontId="31" fillId="0" borderId="177" xfId="3" applyFont="1" applyBorder="1" applyAlignment="1">
      <alignment horizontal="center" vertical="center"/>
    </xf>
    <xf numFmtId="0" fontId="38" fillId="0" borderId="178" xfId="0" applyFont="1" applyBorder="1" applyAlignment="1">
      <alignment vertical="center"/>
    </xf>
    <xf numFmtId="165" fontId="30" fillId="0" borderId="177" xfId="1" applyNumberFormat="1" applyFont="1" applyBorder="1" applyAlignment="1">
      <alignment vertical="center"/>
    </xf>
    <xf numFmtId="165" fontId="39" fillId="0" borderId="177" xfId="1" applyNumberFormat="1" applyFont="1" applyBorder="1" applyAlignment="1">
      <alignment horizontal="center" vertical="center"/>
    </xf>
    <xf numFmtId="165" fontId="30" fillId="0" borderId="57" xfId="1" applyNumberFormat="1" applyFont="1" applyBorder="1" applyAlignment="1">
      <alignment vertical="center"/>
    </xf>
    <xf numFmtId="165" fontId="30" fillId="0" borderId="89" xfId="1" applyNumberFormat="1" applyFont="1" applyBorder="1" applyAlignment="1">
      <alignment vertical="center"/>
    </xf>
    <xf numFmtId="0" fontId="31" fillId="2" borderId="185" xfId="0" applyFont="1" applyFill="1" applyBorder="1" applyAlignment="1">
      <alignment horizontal="center" vertical="center" wrapText="1"/>
    </xf>
    <xf numFmtId="165" fontId="30" fillId="0" borderId="187" xfId="1" applyNumberFormat="1" applyFont="1" applyBorder="1" applyAlignment="1">
      <alignment vertical="center"/>
    </xf>
    <xf numFmtId="165" fontId="30" fillId="0" borderId="187" xfId="1" applyNumberFormat="1" applyFont="1" applyBorder="1" applyAlignment="1">
      <alignment horizontal="center" vertical="center"/>
    </xf>
    <xf numFmtId="165" fontId="30" fillId="0" borderId="9" xfId="1" applyNumberFormat="1" applyFont="1" applyBorder="1" applyAlignment="1">
      <alignment vertical="center"/>
    </xf>
    <xf numFmtId="165" fontId="30" fillId="0" borderId="9" xfId="1" applyNumberFormat="1" applyFont="1" applyBorder="1" applyAlignment="1">
      <alignment horizontal="center" vertical="center"/>
    </xf>
    <xf numFmtId="9" fontId="31" fillId="0" borderId="9" xfId="3" applyFont="1" applyBorder="1" applyAlignment="1">
      <alignment horizontal="center" vertical="center"/>
    </xf>
    <xf numFmtId="9" fontId="31" fillId="0" borderId="130" xfId="3" applyFont="1" applyBorder="1" applyAlignment="1">
      <alignment horizontal="center" vertical="center"/>
    </xf>
    <xf numFmtId="165" fontId="39" fillId="0" borderId="193" xfId="1" applyNumberFormat="1" applyFont="1" applyBorder="1" applyAlignment="1">
      <alignment horizontal="center" vertical="center"/>
    </xf>
    <xf numFmtId="0" fontId="31" fillId="2" borderId="194" xfId="0" applyFont="1" applyFill="1" applyBorder="1" applyAlignment="1">
      <alignment horizontal="center" vertical="center" wrapText="1"/>
    </xf>
    <xf numFmtId="0" fontId="30" fillId="0" borderId="197" xfId="0" applyFont="1" applyBorder="1" applyAlignment="1">
      <alignment horizontal="left" vertical="center" wrapText="1"/>
    </xf>
    <xf numFmtId="165" fontId="30" fillId="0" borderId="8" xfId="1" applyNumberFormat="1" applyFont="1" applyBorder="1" applyAlignment="1">
      <alignment horizontal="left" vertical="center" wrapText="1"/>
    </xf>
    <xf numFmtId="0" fontId="30" fillId="0" borderId="41" xfId="0" applyFont="1" applyBorder="1" applyAlignment="1">
      <alignment vertical="center"/>
    </xf>
    <xf numFmtId="165" fontId="30" fillId="0" borderId="41" xfId="1" applyNumberFormat="1" applyFont="1" applyBorder="1" applyAlignment="1">
      <alignment vertical="center"/>
    </xf>
    <xf numFmtId="9" fontId="31" fillId="0" borderId="41" xfId="3" applyFont="1" applyBorder="1" applyAlignment="1">
      <alignment horizontal="center" vertical="center"/>
    </xf>
    <xf numFmtId="165" fontId="30" fillId="0" borderId="40" xfId="1" applyNumberFormat="1" applyFont="1" applyBorder="1" applyAlignment="1">
      <alignment vertical="center"/>
    </xf>
    <xf numFmtId="0" fontId="31" fillId="2" borderId="91" xfId="0" applyFont="1" applyFill="1" applyBorder="1" applyAlignment="1">
      <alignment horizontal="center" vertical="center"/>
    </xf>
    <xf numFmtId="0" fontId="31" fillId="2" borderId="206" xfId="0" applyFont="1" applyFill="1" applyBorder="1" applyAlignment="1">
      <alignment horizontal="center" vertical="center"/>
    </xf>
    <xf numFmtId="165" fontId="30" fillId="0" borderId="208" xfId="1" applyNumberFormat="1" applyFont="1" applyBorder="1" applyAlignment="1">
      <alignment vertical="center"/>
    </xf>
    <xf numFmtId="165" fontId="30" fillId="0" borderId="214" xfId="1" applyNumberFormat="1" applyFont="1" applyBorder="1" applyAlignment="1">
      <alignment vertical="center"/>
    </xf>
    <xf numFmtId="165" fontId="30" fillId="0" borderId="142" xfId="1" applyNumberFormat="1" applyFont="1" applyBorder="1" applyAlignment="1">
      <alignment vertical="center"/>
    </xf>
    <xf numFmtId="9" fontId="31" fillId="0" borderId="142" xfId="3" applyFont="1" applyBorder="1" applyAlignment="1">
      <alignment horizontal="center" vertical="center"/>
    </xf>
    <xf numFmtId="165" fontId="30" fillId="0" borderId="217" xfId="1" applyNumberFormat="1" applyFont="1" applyBorder="1" applyAlignment="1">
      <alignment vertical="center"/>
    </xf>
    <xf numFmtId="9" fontId="31" fillId="0" borderId="84" xfId="3" applyFont="1" applyBorder="1" applyAlignment="1">
      <alignment horizontal="center" vertical="center"/>
    </xf>
    <xf numFmtId="1" fontId="39" fillId="0" borderId="220" xfId="1" applyNumberFormat="1" applyFont="1" applyBorder="1" applyAlignment="1">
      <alignment horizontal="right" vertical="center"/>
    </xf>
    <xf numFmtId="168" fontId="37" fillId="8" borderId="145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left" vertical="center"/>
    </xf>
    <xf numFmtId="164" fontId="0" fillId="0" borderId="0" xfId="0" applyNumberFormat="1" applyBorder="1" applyAlignment="1">
      <alignment horizontal="center" vertical="center"/>
    </xf>
    <xf numFmtId="168" fontId="0" fillId="0" borderId="222" xfId="0" applyNumberFormat="1" applyFill="1" applyBorder="1" applyAlignment="1">
      <alignment horizontal="left" vertical="center"/>
    </xf>
    <xf numFmtId="165" fontId="0" fillId="0" borderId="222" xfId="1" applyNumberFormat="1" applyFont="1" applyBorder="1" applyAlignment="1">
      <alignment horizontal="left" vertical="center"/>
    </xf>
    <xf numFmtId="165" fontId="0" fillId="0" borderId="222" xfId="1" applyNumberFormat="1" applyFont="1" applyBorder="1" applyAlignment="1">
      <alignment horizontal="center" vertical="center"/>
    </xf>
    <xf numFmtId="165" fontId="30" fillId="0" borderId="134" xfId="1" applyNumberFormat="1" applyFont="1" applyBorder="1" applyAlignment="1">
      <alignment horizontal="center" vertical="center"/>
    </xf>
    <xf numFmtId="165" fontId="30" fillId="0" borderId="26" xfId="1" applyNumberFormat="1" applyFont="1" applyBorder="1" applyAlignment="1">
      <alignment horizontal="center" vertical="center"/>
    </xf>
    <xf numFmtId="0" fontId="31" fillId="7" borderId="61" xfId="0" applyFont="1" applyFill="1" applyBorder="1" applyAlignment="1">
      <alignment horizontal="center" vertical="center" wrapText="1"/>
    </xf>
    <xf numFmtId="170" fontId="30" fillId="0" borderId="20" xfId="0" applyNumberFormat="1" applyFont="1" applyBorder="1" applyAlignment="1">
      <alignment horizontal="center" vertical="center"/>
    </xf>
    <xf numFmtId="170" fontId="30" fillId="0" borderId="20" xfId="1" applyNumberFormat="1" applyFont="1" applyBorder="1" applyAlignment="1">
      <alignment horizontal="center" vertical="center"/>
    </xf>
    <xf numFmtId="43" fontId="30" fillId="0" borderId="118" xfId="0" applyNumberFormat="1" applyFont="1" applyBorder="1" applyAlignment="1">
      <alignment horizontal="center" vertical="center"/>
    </xf>
    <xf numFmtId="43" fontId="30" fillId="0" borderId="114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164" fontId="30" fillId="0" borderId="0" xfId="0" applyNumberFormat="1" applyFont="1" applyAlignment="1">
      <alignment horizontal="center" vertical="center"/>
    </xf>
    <xf numFmtId="172" fontId="0" fillId="0" borderId="137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0" fontId="2" fillId="0" borderId="129" xfId="0" applyFont="1" applyBorder="1" applyAlignment="1">
      <alignment horizontal="center" vertical="center"/>
    </xf>
    <xf numFmtId="165" fontId="0" fillId="0" borderId="98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99" xfId="0" applyNumberFormat="1" applyBorder="1" applyAlignment="1">
      <alignment horizontal="center" vertical="center"/>
    </xf>
    <xf numFmtId="165" fontId="2" fillId="5" borderId="92" xfId="0" applyNumberFormat="1" applyFont="1" applyFill="1" applyBorder="1" applyAlignment="1">
      <alignment horizontal="center" vertical="center"/>
    </xf>
    <xf numFmtId="165" fontId="2" fillId="5" borderId="0" xfId="0" applyNumberFormat="1" applyFont="1" applyFill="1" applyBorder="1" applyAlignment="1">
      <alignment horizontal="center" vertical="center"/>
    </xf>
    <xf numFmtId="172" fontId="0" fillId="0" borderId="23" xfId="0" applyNumberFormat="1" applyBorder="1" applyAlignment="1">
      <alignment horizontal="left" vertical="center"/>
    </xf>
    <xf numFmtId="172" fontId="0" fillId="0" borderId="21" xfId="0" applyNumberFormat="1" applyBorder="1" applyAlignment="1">
      <alignment horizontal="center" vertical="center"/>
    </xf>
    <xf numFmtId="172" fontId="0" fillId="0" borderId="225" xfId="0" applyNumberFormat="1" applyBorder="1" applyAlignment="1">
      <alignment horizontal="left" vertical="center"/>
    </xf>
    <xf numFmtId="0" fontId="31" fillId="6" borderId="101" xfId="0" applyFont="1" applyFill="1" applyBorder="1" applyAlignment="1">
      <alignment horizontal="center" vertical="center" wrapText="1"/>
    </xf>
    <xf numFmtId="0" fontId="0" fillId="0" borderId="137" xfId="0" applyFill="1" applyBorder="1" applyAlignment="1">
      <alignment horizontal="left" vertical="center"/>
    </xf>
    <xf numFmtId="0" fontId="0" fillId="0" borderId="157" xfId="0" applyFill="1" applyBorder="1" applyAlignment="1">
      <alignment horizontal="left" vertical="center"/>
    </xf>
    <xf numFmtId="172" fontId="0" fillId="0" borderId="157" xfId="0" applyNumberFormat="1" applyBorder="1" applyAlignment="1">
      <alignment horizontal="center" vertical="center"/>
    </xf>
    <xf numFmtId="172" fontId="0" fillId="0" borderId="226" xfId="0" applyNumberFormat="1" applyBorder="1" applyAlignment="1">
      <alignment horizontal="left" vertical="center"/>
    </xf>
    <xf numFmtId="0" fontId="0" fillId="0" borderId="130" xfId="0" applyFill="1" applyBorder="1" applyAlignment="1">
      <alignment horizontal="left" vertical="center"/>
    </xf>
    <xf numFmtId="0" fontId="0" fillId="0" borderId="0" xfId="0" applyBorder="1"/>
    <xf numFmtId="0" fontId="35" fillId="0" borderId="0" xfId="0" applyFont="1" applyBorder="1" applyAlignment="1">
      <alignment horizontal="left" vertical="center"/>
    </xf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2" fillId="0" borderId="228" xfId="0" applyFont="1" applyBorder="1" applyAlignment="1">
      <alignment vertical="center"/>
    </xf>
    <xf numFmtId="0" fontId="0" fillId="0" borderId="159" xfId="0" applyFill="1" applyBorder="1" applyAlignment="1">
      <alignment horizontal="left" vertical="center"/>
    </xf>
    <xf numFmtId="165" fontId="0" fillId="0" borderId="159" xfId="1" applyNumberFormat="1" applyFont="1" applyBorder="1" applyAlignment="1">
      <alignment horizontal="left" vertical="center"/>
    </xf>
    <xf numFmtId="172" fontId="0" fillId="0" borderId="159" xfId="0" applyNumberFormat="1" applyBorder="1" applyAlignment="1">
      <alignment horizontal="center" vertical="center"/>
    </xf>
    <xf numFmtId="172" fontId="0" fillId="0" borderId="159" xfId="0" applyNumberFormat="1" applyBorder="1" applyAlignment="1">
      <alignment horizontal="left" vertical="center"/>
    </xf>
    <xf numFmtId="39" fontId="1" fillId="0" borderId="159" xfId="1" applyNumberFormat="1" applyFont="1" applyFill="1" applyBorder="1" applyAlignment="1">
      <alignment horizontal="center" vertical="center"/>
    </xf>
    <xf numFmtId="165" fontId="0" fillId="0" borderId="229" xfId="1" applyNumberFormat="1" applyFont="1" applyBorder="1" applyAlignment="1">
      <alignment horizontal="center" vertical="center"/>
    </xf>
    <xf numFmtId="168" fontId="0" fillId="0" borderId="231" xfId="0" applyNumberFormat="1" applyFill="1" applyBorder="1" applyAlignment="1">
      <alignment horizontal="left" vertical="center"/>
    </xf>
    <xf numFmtId="0" fontId="0" fillId="0" borderId="231" xfId="0" applyFill="1" applyBorder="1" applyAlignment="1">
      <alignment horizontal="left" vertical="center"/>
    </xf>
    <xf numFmtId="165" fontId="0" fillId="0" borderId="231" xfId="1" applyNumberFormat="1" applyFont="1" applyBorder="1" applyAlignment="1">
      <alignment horizontal="left" vertical="center"/>
    </xf>
    <xf numFmtId="165" fontId="0" fillId="0" borderId="231" xfId="1" applyNumberFormat="1" applyFont="1" applyBorder="1" applyAlignment="1">
      <alignment horizontal="center" vertical="center"/>
    </xf>
    <xf numFmtId="172" fontId="0" fillId="0" borderId="231" xfId="0" applyNumberFormat="1" applyBorder="1" applyAlignment="1">
      <alignment horizontal="center" vertical="center"/>
    </xf>
    <xf numFmtId="172" fontId="0" fillId="0" borderId="231" xfId="0" applyNumberFormat="1" applyBorder="1" applyAlignment="1">
      <alignment horizontal="left" vertical="center"/>
    </xf>
    <xf numFmtId="39" fontId="1" fillId="0" borderId="231" xfId="1" applyNumberFormat="1" applyFont="1" applyFill="1" applyBorder="1" applyAlignment="1">
      <alignment horizontal="center" vertical="center"/>
    </xf>
    <xf numFmtId="165" fontId="0" fillId="0" borderId="232" xfId="1" applyNumberFormat="1" applyFont="1" applyBorder="1" applyAlignment="1">
      <alignment horizontal="center" vertical="center"/>
    </xf>
    <xf numFmtId="165" fontId="0" fillId="0" borderId="226" xfId="1" applyNumberFormat="1" applyFont="1" applyBorder="1" applyAlignment="1">
      <alignment horizontal="center" vertical="center"/>
    </xf>
    <xf numFmtId="165" fontId="0" fillId="0" borderId="233" xfId="1" applyNumberFormat="1" applyFont="1" applyBorder="1" applyAlignment="1">
      <alignment horizontal="center" vertical="center"/>
    </xf>
    <xf numFmtId="43" fontId="0" fillId="0" borderId="0" xfId="1" applyNumberFormat="1" applyFont="1" applyBorder="1" applyAlignment="1">
      <alignment horizontal="center" vertical="center"/>
    </xf>
    <xf numFmtId="165" fontId="0" fillId="0" borderId="234" xfId="1" applyNumberFormat="1" applyFont="1" applyBorder="1" applyAlignment="1">
      <alignment horizontal="center" vertical="center"/>
    </xf>
    <xf numFmtId="165" fontId="0" fillId="0" borderId="235" xfId="1" applyNumberFormat="1" applyFont="1" applyBorder="1" applyAlignment="1">
      <alignment horizontal="center" vertical="center"/>
    </xf>
    <xf numFmtId="0" fontId="0" fillId="0" borderId="222" xfId="0" applyFill="1" applyBorder="1" applyAlignment="1">
      <alignment horizontal="left" vertical="center"/>
    </xf>
    <xf numFmtId="172" fontId="0" fillId="0" borderId="222" xfId="0" applyNumberFormat="1" applyBorder="1" applyAlignment="1">
      <alignment horizontal="center" vertical="center"/>
    </xf>
    <xf numFmtId="172" fontId="0" fillId="0" borderId="222" xfId="0" applyNumberFormat="1" applyBorder="1" applyAlignment="1">
      <alignment horizontal="left" vertical="center"/>
    </xf>
    <xf numFmtId="39" fontId="1" fillId="0" borderId="222" xfId="1" applyNumberFormat="1" applyFont="1" applyFill="1" applyBorder="1" applyAlignment="1">
      <alignment horizontal="center" vertical="center"/>
    </xf>
    <xf numFmtId="168" fontId="0" fillId="0" borderId="236" xfId="0" applyNumberFormat="1" applyFill="1" applyBorder="1" applyAlignment="1">
      <alignment horizontal="left" vertical="center"/>
    </xf>
    <xf numFmtId="0" fontId="0" fillId="0" borderId="236" xfId="0" applyFill="1" applyBorder="1" applyAlignment="1">
      <alignment horizontal="left" vertical="center"/>
    </xf>
    <xf numFmtId="165" fontId="0" fillId="0" borderId="236" xfId="1" applyNumberFormat="1" applyFont="1" applyBorder="1" applyAlignment="1">
      <alignment horizontal="left" vertical="center"/>
    </xf>
    <xf numFmtId="165" fontId="0" fillId="0" borderId="236" xfId="1" applyNumberFormat="1" applyFont="1" applyBorder="1" applyAlignment="1">
      <alignment horizontal="center" vertical="center"/>
    </xf>
    <xf numFmtId="172" fontId="0" fillId="0" borderId="236" xfId="0" applyNumberFormat="1" applyBorder="1" applyAlignment="1">
      <alignment horizontal="center" vertical="center"/>
    </xf>
    <xf numFmtId="172" fontId="0" fillId="0" borderId="236" xfId="0" applyNumberFormat="1" applyBorder="1" applyAlignment="1">
      <alignment horizontal="left" vertical="center"/>
    </xf>
    <xf numFmtId="39" fontId="1" fillId="0" borderId="236" xfId="1" applyNumberFormat="1" applyFont="1" applyFill="1" applyBorder="1" applyAlignment="1">
      <alignment horizontal="center" vertical="center"/>
    </xf>
    <xf numFmtId="165" fontId="0" fillId="0" borderId="237" xfId="1" applyNumberFormat="1" applyFont="1" applyBorder="1" applyAlignment="1">
      <alignment horizontal="center" vertical="center"/>
    </xf>
    <xf numFmtId="0" fontId="2" fillId="0" borderId="238" xfId="0" applyFont="1" applyBorder="1" applyAlignment="1">
      <alignment vertical="center"/>
    </xf>
    <xf numFmtId="0" fontId="31" fillId="6" borderId="102" xfId="0" applyFont="1" applyFill="1" applyBorder="1" applyAlignment="1">
      <alignment horizontal="center" vertical="center"/>
    </xf>
    <xf numFmtId="0" fontId="31" fillId="6" borderId="19" xfId="0" applyFont="1" applyFill="1" applyBorder="1" applyAlignment="1">
      <alignment horizontal="center" vertical="center" wrapText="1"/>
    </xf>
    <xf numFmtId="0" fontId="30" fillId="0" borderId="239" xfId="0" applyFont="1" applyBorder="1" applyAlignment="1">
      <alignment horizontal="center" vertical="center"/>
    </xf>
    <xf numFmtId="0" fontId="30" fillId="0" borderId="239" xfId="0" applyFont="1" applyBorder="1" applyAlignment="1">
      <alignment horizontal="left" vertical="center"/>
    </xf>
    <xf numFmtId="165" fontId="30" fillId="0" borderId="239" xfId="0" applyNumberFormat="1" applyFont="1" applyBorder="1" applyAlignment="1">
      <alignment horizontal="center" vertical="center"/>
    </xf>
    <xf numFmtId="43" fontId="30" fillId="0" borderId="239" xfId="1" applyNumberFormat="1" applyFont="1" applyBorder="1" applyAlignment="1">
      <alignment horizontal="center" vertical="center"/>
    </xf>
    <xf numFmtId="43" fontId="30" fillId="0" borderId="240" xfId="1" applyNumberFormat="1" applyFont="1" applyBorder="1" applyAlignment="1">
      <alignment horizontal="center" vertical="center"/>
    </xf>
    <xf numFmtId="0" fontId="30" fillId="0" borderId="241" xfId="0" applyFont="1" applyBorder="1" applyAlignment="1">
      <alignment horizontal="center" vertical="center"/>
    </xf>
    <xf numFmtId="0" fontId="30" fillId="0" borderId="241" xfId="0" applyFont="1" applyBorder="1" applyAlignment="1">
      <alignment horizontal="left" vertical="center"/>
    </xf>
    <xf numFmtId="165" fontId="30" fillId="0" borderId="241" xfId="1" applyNumberFormat="1" applyFont="1" applyBorder="1" applyAlignment="1">
      <alignment horizontal="center" vertical="center"/>
    </xf>
    <xf numFmtId="43" fontId="30" fillId="0" borderId="241" xfId="0" applyNumberFormat="1" applyFont="1" applyBorder="1" applyAlignment="1">
      <alignment horizontal="center" vertical="center"/>
    </xf>
    <xf numFmtId="165" fontId="30" fillId="0" borderId="241" xfId="0" applyNumberFormat="1" applyFont="1" applyBorder="1" applyAlignment="1">
      <alignment horizontal="center" vertical="center"/>
    </xf>
    <xf numFmtId="167" fontId="30" fillId="0" borderId="241" xfId="1" applyNumberFormat="1" applyFont="1" applyBorder="1" applyAlignment="1">
      <alignment horizontal="center" vertical="center"/>
    </xf>
    <xf numFmtId="170" fontId="30" fillId="0" borderId="241" xfId="0" applyNumberFormat="1" applyFont="1" applyBorder="1" applyAlignment="1">
      <alignment horizontal="center" vertical="center"/>
    </xf>
    <xf numFmtId="43" fontId="30" fillId="0" borderId="241" xfId="1" applyNumberFormat="1" applyFont="1" applyBorder="1" applyAlignment="1">
      <alignment horizontal="center" vertical="center"/>
    </xf>
    <xf numFmtId="43" fontId="30" fillId="0" borderId="242" xfId="1" applyNumberFormat="1" applyFont="1" applyBorder="1" applyAlignment="1">
      <alignment horizontal="center" vertical="center"/>
    </xf>
    <xf numFmtId="171" fontId="30" fillId="0" borderId="241" xfId="0" applyNumberFormat="1" applyFont="1" applyBorder="1" applyAlignment="1">
      <alignment horizontal="center" vertical="center"/>
    </xf>
    <xf numFmtId="43" fontId="30" fillId="0" borderId="242" xfId="1" applyFont="1" applyBorder="1" applyAlignment="1">
      <alignment horizontal="center" vertical="center"/>
    </xf>
    <xf numFmtId="0" fontId="30" fillId="0" borderId="243" xfId="0" applyFont="1" applyBorder="1" applyAlignment="1">
      <alignment horizontal="center" vertical="center"/>
    </xf>
    <xf numFmtId="0" fontId="30" fillId="0" borderId="243" xfId="0" applyFont="1" applyBorder="1" applyAlignment="1">
      <alignment horizontal="left" vertical="center"/>
    </xf>
    <xf numFmtId="165" fontId="30" fillId="0" borderId="243" xfId="0" applyNumberFormat="1" applyFont="1" applyBorder="1" applyAlignment="1">
      <alignment horizontal="center" vertical="center"/>
    </xf>
    <xf numFmtId="0" fontId="31" fillId="6" borderId="114" xfId="0" applyFont="1" applyFill="1" applyBorder="1" applyAlignment="1">
      <alignment horizontal="center" vertical="center" wrapText="1"/>
    </xf>
    <xf numFmtId="0" fontId="30" fillId="0" borderId="63" xfId="0" applyFont="1" applyBorder="1" applyAlignment="1">
      <alignment horizontal="left" vertical="center"/>
    </xf>
    <xf numFmtId="165" fontId="30" fillId="0" borderId="63" xfId="1" applyNumberFormat="1" applyFont="1" applyBorder="1" applyAlignment="1">
      <alignment horizontal="center" vertical="center"/>
    </xf>
    <xf numFmtId="165" fontId="30" fillId="0" borderId="29" xfId="1" applyNumberFormat="1" applyFont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167" fontId="0" fillId="0" borderId="236" xfId="1" applyNumberFormat="1" applyFont="1" applyBorder="1" applyAlignment="1">
      <alignment horizontal="center" vertical="center"/>
    </xf>
    <xf numFmtId="165" fontId="0" fillId="0" borderId="236" xfId="1" applyNumberFormat="1" applyFont="1" applyBorder="1" applyAlignment="1">
      <alignment horizontal="right" vertical="center"/>
    </xf>
    <xf numFmtId="165" fontId="30" fillId="0" borderId="119" xfId="1" applyNumberFormat="1" applyFont="1" applyBorder="1" applyAlignment="1">
      <alignment horizontal="center" vertical="center"/>
    </xf>
    <xf numFmtId="165" fontId="30" fillId="0" borderId="121" xfId="1" applyNumberFormat="1" applyFont="1" applyBorder="1" applyAlignment="1">
      <alignment horizontal="center" vertical="center"/>
    </xf>
    <xf numFmtId="165" fontId="30" fillId="0" borderId="31" xfId="1" applyNumberFormat="1" applyFont="1" applyBorder="1" applyAlignment="1">
      <alignment horizontal="center" vertical="center"/>
    </xf>
    <xf numFmtId="165" fontId="30" fillId="0" borderId="132" xfId="1" applyNumberFormat="1" applyFont="1" applyBorder="1" applyAlignment="1">
      <alignment horizontal="center" vertical="center"/>
    </xf>
    <xf numFmtId="165" fontId="30" fillId="0" borderId="28" xfId="1" applyNumberFormat="1" applyFont="1" applyBorder="1" applyAlignment="1">
      <alignment horizontal="center" vertical="center"/>
    </xf>
    <xf numFmtId="165" fontId="0" fillId="0" borderId="130" xfId="1" applyNumberFormat="1" applyFont="1" applyFill="1" applyBorder="1" applyAlignment="1">
      <alignment horizontal="left" vertical="center"/>
    </xf>
    <xf numFmtId="172" fontId="0" fillId="0" borderId="245" xfId="0" applyNumberFormat="1" applyBorder="1" applyAlignment="1">
      <alignment horizontal="left" vertical="center"/>
    </xf>
    <xf numFmtId="172" fontId="0" fillId="0" borderId="25" xfId="0" applyNumberFormat="1" applyBorder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center" vertical="center"/>
    </xf>
    <xf numFmtId="165" fontId="0" fillId="0" borderId="246" xfId="1" applyNumberFormat="1" applyFont="1" applyBorder="1" applyAlignment="1">
      <alignment horizontal="center" vertical="center"/>
    </xf>
    <xf numFmtId="172" fontId="0" fillId="0" borderId="189" xfId="0" applyNumberFormat="1" applyBorder="1" applyAlignment="1">
      <alignment horizontal="left" vertical="center"/>
    </xf>
    <xf numFmtId="172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164" fontId="0" fillId="0" borderId="189" xfId="0" applyNumberFormat="1" applyBorder="1" applyAlignment="1">
      <alignment horizontal="left" vertical="center"/>
    </xf>
    <xf numFmtId="164" fontId="0" fillId="0" borderId="9" xfId="0" applyNumberFormat="1" applyBorder="1" applyAlignment="1">
      <alignment horizontal="center" vertical="center"/>
    </xf>
    <xf numFmtId="164" fontId="0" fillId="0" borderId="201" xfId="0" applyNumberFormat="1" applyBorder="1" applyAlignment="1">
      <alignment horizontal="left" vertical="center"/>
    </xf>
    <xf numFmtId="164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2" fontId="0" fillId="0" borderId="227" xfId="0" applyNumberFormat="1" applyBorder="1" applyAlignment="1">
      <alignment horizontal="center" vertical="center"/>
    </xf>
    <xf numFmtId="39" fontId="1" fillId="0" borderId="137" xfId="1" applyNumberFormat="1" applyFont="1" applyFill="1" applyBorder="1" applyAlignment="1">
      <alignment horizontal="center" vertical="center"/>
    </xf>
    <xf numFmtId="39" fontId="1" fillId="0" borderId="157" xfId="1" applyNumberFormat="1" applyFont="1" applyFill="1" applyBorder="1" applyAlignment="1">
      <alignment horizontal="center" vertical="center"/>
    </xf>
    <xf numFmtId="39" fontId="1" fillId="0" borderId="249" xfId="1" applyNumberFormat="1" applyFont="1" applyFill="1" applyBorder="1" applyAlignment="1">
      <alignment horizontal="center" vertical="center"/>
    </xf>
    <xf numFmtId="39" fontId="1" fillId="0" borderId="250" xfId="1" applyNumberFormat="1" applyFont="1" applyFill="1" applyBorder="1" applyAlignment="1">
      <alignment horizontal="center" vertical="center"/>
    </xf>
    <xf numFmtId="39" fontId="1" fillId="0" borderId="251" xfId="1" applyNumberFormat="1" applyFont="1" applyFill="1" applyBorder="1" applyAlignment="1">
      <alignment horizontal="center" vertical="center"/>
    </xf>
    <xf numFmtId="165" fontId="0" fillId="0" borderId="252" xfId="1" applyNumberFormat="1" applyFont="1" applyBorder="1" applyAlignment="1">
      <alignment horizontal="center" vertical="center"/>
    </xf>
    <xf numFmtId="165" fontId="0" fillId="0" borderId="253" xfId="1" applyNumberFormat="1" applyFont="1" applyBorder="1" applyAlignment="1">
      <alignment horizontal="center" vertical="center"/>
    </xf>
    <xf numFmtId="165" fontId="0" fillId="0" borderId="148" xfId="1" applyNumberFormat="1" applyFont="1" applyBorder="1" applyAlignment="1">
      <alignment horizontal="center" vertical="center"/>
    </xf>
    <xf numFmtId="165" fontId="0" fillId="0" borderId="145" xfId="1" applyNumberFormat="1" applyFont="1" applyBorder="1" applyAlignment="1">
      <alignment horizontal="center" vertical="center"/>
    </xf>
    <xf numFmtId="165" fontId="0" fillId="0" borderId="222" xfId="1" applyNumberFormat="1" applyFont="1" applyFill="1" applyBorder="1" applyAlignment="1">
      <alignment horizontal="left" vertical="center"/>
    </xf>
    <xf numFmtId="168" fontId="0" fillId="0" borderId="254" xfId="0" applyNumberFormat="1" applyFill="1" applyBorder="1" applyAlignment="1">
      <alignment horizontal="left" vertical="center"/>
    </xf>
    <xf numFmtId="0" fontId="0" fillId="0" borderId="254" xfId="0" applyFill="1" applyBorder="1" applyAlignment="1">
      <alignment horizontal="left" vertical="center"/>
    </xf>
    <xf numFmtId="165" fontId="0" fillId="0" borderId="254" xfId="1" applyNumberFormat="1" applyFont="1" applyFill="1" applyBorder="1" applyAlignment="1">
      <alignment horizontal="left" vertical="center"/>
    </xf>
    <xf numFmtId="165" fontId="0" fillId="0" borderId="254" xfId="1" applyNumberFormat="1" applyFont="1" applyBorder="1" applyAlignment="1">
      <alignment horizontal="center" vertical="center"/>
    </xf>
    <xf numFmtId="172" fontId="0" fillId="0" borderId="254" xfId="0" applyNumberFormat="1" applyBorder="1" applyAlignment="1">
      <alignment horizontal="center" vertical="center"/>
    </xf>
    <xf numFmtId="172" fontId="0" fillId="0" borderId="254" xfId="0" applyNumberFormat="1" applyBorder="1" applyAlignment="1">
      <alignment horizontal="left" vertical="center"/>
    </xf>
    <xf numFmtId="39" fontId="1" fillId="0" borderId="254" xfId="1" applyNumberFormat="1" applyFont="1" applyFill="1" applyBorder="1" applyAlignment="1">
      <alignment horizontal="center" vertical="center"/>
    </xf>
    <xf numFmtId="165" fontId="30" fillId="0" borderId="9" xfId="1" applyNumberFormat="1" applyFont="1" applyBorder="1" applyAlignment="1">
      <alignment horizontal="center" vertical="center"/>
    </xf>
    <xf numFmtId="165" fontId="30" fillId="0" borderId="137" xfId="1" applyNumberFormat="1" applyFont="1" applyBorder="1" applyAlignment="1">
      <alignment horizontal="center" vertical="center"/>
    </xf>
    <xf numFmtId="168" fontId="0" fillId="0" borderId="247" xfId="0" applyNumberFormat="1" applyFill="1" applyBorder="1" applyAlignment="1">
      <alignment horizontal="left" vertical="center"/>
    </xf>
    <xf numFmtId="0" fontId="30" fillId="0" borderId="255" xfId="0" applyFont="1" applyBorder="1" applyAlignment="1">
      <alignment horizontal="center" vertical="center"/>
    </xf>
    <xf numFmtId="0" fontId="30" fillId="0" borderId="255" xfId="0" applyFont="1" applyBorder="1" applyAlignment="1">
      <alignment horizontal="left" vertical="center"/>
    </xf>
    <xf numFmtId="165" fontId="30" fillId="0" borderId="255" xfId="0" applyNumberFormat="1" applyFont="1" applyBorder="1" applyAlignment="1">
      <alignment horizontal="center" vertical="center"/>
    </xf>
    <xf numFmtId="43" fontId="30" fillId="0" borderId="255" xfId="0" applyNumberFormat="1" applyFont="1" applyBorder="1" applyAlignment="1">
      <alignment horizontal="center" vertical="center"/>
    </xf>
    <xf numFmtId="43" fontId="30" fillId="0" borderId="256" xfId="1" applyFont="1" applyBorder="1" applyAlignment="1">
      <alignment horizontal="center" vertical="center"/>
    </xf>
    <xf numFmtId="39" fontId="1" fillId="0" borderId="257" xfId="1" applyNumberFormat="1" applyFont="1" applyFill="1" applyBorder="1" applyAlignment="1">
      <alignment horizontal="center" vertical="center"/>
    </xf>
    <xf numFmtId="165" fontId="31" fillId="2" borderId="195" xfId="1" applyNumberFormat="1" applyFont="1" applyFill="1" applyBorder="1" applyAlignment="1">
      <alignment horizontal="center" vertical="center" wrapText="1"/>
    </xf>
    <xf numFmtId="0" fontId="30" fillId="0" borderId="261" xfId="0" applyFont="1" applyBorder="1" applyAlignment="1">
      <alignment horizontal="left" vertical="center" wrapText="1"/>
    </xf>
    <xf numFmtId="165" fontId="30" fillId="0" borderId="50" xfId="1" applyNumberFormat="1" applyFont="1" applyBorder="1" applyAlignment="1">
      <alignment horizontal="left" vertical="center" wrapText="1"/>
    </xf>
    <xf numFmtId="165" fontId="0" fillId="0" borderId="265" xfId="1" applyNumberFormat="1" applyFont="1" applyBorder="1" applyAlignment="1">
      <alignment horizontal="center" vertical="center"/>
    </xf>
    <xf numFmtId="168" fontId="0" fillId="0" borderId="148" xfId="0" applyNumberFormat="1" applyFill="1" applyBorder="1" applyAlignment="1">
      <alignment horizontal="left" vertical="center"/>
    </xf>
    <xf numFmtId="0" fontId="0" fillId="0" borderId="148" xfId="0" applyFill="1" applyBorder="1" applyAlignment="1">
      <alignment horizontal="left" vertical="center"/>
    </xf>
    <xf numFmtId="165" fontId="0" fillId="0" borderId="266" xfId="1" applyNumberFormat="1" applyFont="1" applyBorder="1" applyAlignment="1">
      <alignment horizontal="left" vertical="center"/>
    </xf>
    <xf numFmtId="172" fontId="0" fillId="0" borderId="148" xfId="0" applyNumberFormat="1" applyBorder="1" applyAlignment="1">
      <alignment horizontal="center" vertical="center"/>
    </xf>
    <xf numFmtId="172" fontId="0" fillId="0" borderId="267" xfId="0" applyNumberFormat="1" applyBorder="1" applyAlignment="1">
      <alignment horizontal="left" vertical="center"/>
    </xf>
    <xf numFmtId="39" fontId="1" fillId="0" borderId="268" xfId="1" applyNumberFormat="1" applyFont="1" applyFill="1" applyBorder="1" applyAlignment="1">
      <alignment horizontal="center" vertical="center"/>
    </xf>
    <xf numFmtId="165" fontId="0" fillId="0" borderId="267" xfId="1" applyNumberFormat="1" applyFont="1" applyBorder="1" applyAlignment="1">
      <alignment horizontal="center" vertical="center"/>
    </xf>
    <xf numFmtId="168" fontId="0" fillId="0" borderId="270" xfId="0" applyNumberFormat="1" applyFill="1" applyBorder="1" applyAlignment="1">
      <alignment horizontal="left" vertical="center"/>
    </xf>
    <xf numFmtId="168" fontId="0" fillId="0" borderId="271" xfId="0" applyNumberFormat="1" applyFill="1" applyBorder="1" applyAlignment="1">
      <alignment horizontal="left" vertical="center"/>
    </xf>
    <xf numFmtId="168" fontId="0" fillId="0" borderId="269" xfId="0" applyNumberFormat="1" applyFill="1" applyBorder="1" applyAlignment="1">
      <alignment horizontal="left" vertical="center"/>
    </xf>
    <xf numFmtId="0" fontId="0" fillId="0" borderId="269" xfId="0" applyFill="1" applyBorder="1" applyAlignment="1">
      <alignment horizontal="left" vertical="center"/>
    </xf>
    <xf numFmtId="165" fontId="0" fillId="0" borderId="269" xfId="1" applyNumberFormat="1" applyFont="1" applyBorder="1" applyAlignment="1">
      <alignment horizontal="center" vertical="center"/>
    </xf>
    <xf numFmtId="172" fontId="0" fillId="0" borderId="269" xfId="0" applyNumberFormat="1" applyBorder="1" applyAlignment="1">
      <alignment horizontal="center" vertical="center"/>
    </xf>
    <xf numFmtId="172" fontId="0" fillId="0" borderId="269" xfId="0" applyNumberFormat="1" applyBorder="1" applyAlignment="1">
      <alignment horizontal="left" vertical="center"/>
    </xf>
    <xf numFmtId="39" fontId="1" fillId="0" borderId="269" xfId="1" applyNumberFormat="1" applyFont="1" applyFill="1" applyBorder="1" applyAlignment="1">
      <alignment horizontal="center" vertical="center"/>
    </xf>
    <xf numFmtId="165" fontId="0" fillId="0" borderId="272" xfId="1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34" fillId="0" borderId="110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 wrapText="1"/>
    </xf>
    <xf numFmtId="0" fontId="34" fillId="0" borderId="112" xfId="0" applyFont="1" applyBorder="1" applyAlignment="1">
      <alignment horizontal="center" vertical="center" wrapText="1"/>
    </xf>
    <xf numFmtId="0" fontId="34" fillId="0" borderId="110" xfId="0" applyFont="1" applyBorder="1" applyAlignment="1">
      <alignment horizontal="center" vertical="center" wrapText="1"/>
    </xf>
    <xf numFmtId="0" fontId="33" fillId="0" borderId="110" xfId="0" applyFont="1" applyBorder="1" applyAlignment="1">
      <alignment horizontal="center" vertical="center"/>
    </xf>
    <xf numFmtId="1" fontId="0" fillId="0" borderId="0" xfId="0" applyNumberFormat="1"/>
    <xf numFmtId="0" fontId="34" fillId="0" borderId="19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 wrapText="1"/>
    </xf>
    <xf numFmtId="165" fontId="30" fillId="0" borderId="239" xfId="1" applyNumberFormat="1" applyFont="1" applyBorder="1" applyAlignment="1">
      <alignment horizontal="center" vertical="center"/>
    </xf>
    <xf numFmtId="165" fontId="30" fillId="0" borderId="20" xfId="0" applyNumberFormat="1" applyFont="1" applyBorder="1" applyAlignment="1">
      <alignment horizontal="center" vertical="center"/>
    </xf>
    <xf numFmtId="170" fontId="30" fillId="0" borderId="239" xfId="0" applyNumberFormat="1" applyFont="1" applyBorder="1" applyAlignment="1">
      <alignment horizontal="center" vertical="center"/>
    </xf>
    <xf numFmtId="170" fontId="30" fillId="0" borderId="255" xfId="0" applyNumberFormat="1" applyFont="1" applyBorder="1" applyAlignment="1">
      <alignment horizontal="center" vertical="center"/>
    </xf>
    <xf numFmtId="170" fontId="30" fillId="0" borderId="243" xfId="0" applyNumberFormat="1" applyFont="1" applyBorder="1" applyAlignment="1">
      <alignment horizontal="center" vertical="center"/>
    </xf>
    <xf numFmtId="165" fontId="30" fillId="0" borderId="255" xfId="1" applyNumberFormat="1" applyFont="1" applyBorder="1" applyAlignment="1">
      <alignment horizontal="center" vertical="center"/>
    </xf>
    <xf numFmtId="165" fontId="30" fillId="0" borderId="243" xfId="1" applyNumberFormat="1" applyFont="1" applyBorder="1" applyAlignment="1">
      <alignment horizontal="center" vertical="center"/>
    </xf>
    <xf numFmtId="165" fontId="30" fillId="0" borderId="244" xfId="1" applyNumberFormat="1" applyFont="1" applyBorder="1" applyAlignment="1">
      <alignment horizontal="center" vertical="center"/>
    </xf>
    <xf numFmtId="0" fontId="7" fillId="0" borderId="0" xfId="0" applyFont="1"/>
    <xf numFmtId="0" fontId="31" fillId="0" borderId="114" xfId="0" applyFont="1" applyBorder="1" applyAlignment="1">
      <alignment horizontal="left" vertical="center"/>
    </xf>
    <xf numFmtId="43" fontId="30" fillId="0" borderId="243" xfId="1" applyFont="1" applyBorder="1" applyAlignment="1">
      <alignment horizontal="center" vertical="center"/>
    </xf>
    <xf numFmtId="165" fontId="0" fillId="0" borderId="278" xfId="1" applyNumberFormat="1" applyFont="1" applyBorder="1" applyAlignment="1">
      <alignment horizontal="center" vertical="center"/>
    </xf>
    <xf numFmtId="165" fontId="0" fillId="0" borderId="277" xfId="1" applyNumberFormat="1" applyFont="1" applyBorder="1" applyAlignment="1">
      <alignment horizontal="center" vertical="center"/>
    </xf>
    <xf numFmtId="165" fontId="0" fillId="0" borderId="279" xfId="1" applyNumberFormat="1" applyFont="1" applyBorder="1" applyAlignment="1">
      <alignment horizontal="center" vertical="center"/>
    </xf>
    <xf numFmtId="167" fontId="0" fillId="0" borderId="159" xfId="1" applyNumberFormat="1" applyFont="1" applyFill="1" applyBorder="1" applyAlignment="1">
      <alignment horizontal="center" vertical="center"/>
    </xf>
    <xf numFmtId="167" fontId="0" fillId="0" borderId="222" xfId="1" applyNumberFormat="1" applyFont="1" applyBorder="1" applyAlignment="1">
      <alignment horizontal="center" vertical="center"/>
    </xf>
    <xf numFmtId="167" fontId="0" fillId="0" borderId="159" xfId="1" applyNumberFormat="1" applyFont="1" applyBorder="1" applyAlignment="1">
      <alignment horizontal="center" vertical="center"/>
    </xf>
    <xf numFmtId="167" fontId="0" fillId="0" borderId="231" xfId="1" applyNumberFormat="1" applyFont="1" applyBorder="1" applyAlignment="1">
      <alignment horizontal="center" vertical="center"/>
    </xf>
    <xf numFmtId="165" fontId="0" fillId="0" borderId="9" xfId="1" applyNumberFormat="1" applyFont="1" applyFill="1" applyBorder="1" applyAlignment="1">
      <alignment horizontal="center" vertical="center"/>
    </xf>
    <xf numFmtId="165" fontId="0" fillId="0" borderId="130" xfId="1" applyNumberFormat="1" applyFont="1" applyFill="1" applyBorder="1" applyAlignment="1">
      <alignment horizontal="center" vertical="center"/>
    </xf>
    <xf numFmtId="165" fontId="0" fillId="0" borderId="159" xfId="1" applyNumberFormat="1" applyFont="1" applyFill="1" applyBorder="1" applyAlignment="1">
      <alignment horizontal="center" vertical="center"/>
    </xf>
    <xf numFmtId="165" fontId="0" fillId="0" borderId="254" xfId="1" applyNumberFormat="1" applyFont="1" applyFill="1" applyBorder="1" applyAlignment="1">
      <alignment horizontal="center" vertical="center"/>
    </xf>
    <xf numFmtId="165" fontId="0" fillId="0" borderId="159" xfId="1" applyNumberFormat="1" applyFont="1" applyBorder="1" applyAlignment="1">
      <alignment horizontal="right" vertical="center"/>
    </xf>
    <xf numFmtId="165" fontId="0" fillId="0" borderId="222" xfId="1" applyNumberFormat="1" applyFont="1" applyBorder="1" applyAlignment="1">
      <alignment horizontal="right" vertical="center"/>
    </xf>
    <xf numFmtId="165" fontId="0" fillId="0" borderId="231" xfId="1" applyNumberFormat="1" applyFont="1" applyBorder="1" applyAlignment="1">
      <alignment horizontal="right" vertical="center"/>
    </xf>
    <xf numFmtId="167" fontId="0" fillId="0" borderId="157" xfId="1" applyNumberFormat="1" applyFont="1" applyBorder="1" applyAlignment="1">
      <alignment horizontal="center" vertical="center"/>
    </xf>
    <xf numFmtId="167" fontId="0" fillId="0" borderId="148" xfId="1" applyNumberFormat="1" applyFont="1" applyBorder="1" applyAlignment="1">
      <alignment horizontal="center" vertical="center"/>
    </xf>
    <xf numFmtId="167" fontId="0" fillId="0" borderId="137" xfId="1" applyNumberFormat="1" applyFont="1" applyBorder="1" applyAlignment="1">
      <alignment horizontal="center" vertical="center"/>
    </xf>
    <xf numFmtId="167" fontId="0" fillId="0" borderId="9" xfId="1" applyNumberFormat="1" applyFont="1" applyBorder="1" applyAlignment="1">
      <alignment horizontal="center" vertical="center"/>
    </xf>
    <xf numFmtId="167" fontId="0" fillId="0" borderId="130" xfId="1" applyNumberFormat="1" applyFont="1" applyBorder="1" applyAlignment="1">
      <alignment horizontal="center" vertical="center"/>
    </xf>
    <xf numFmtId="0" fontId="43" fillId="0" borderId="0" xfId="4"/>
    <xf numFmtId="0" fontId="2" fillId="0" borderId="0" xfId="0" applyFont="1" applyAlignment="1">
      <alignment horizontal="center" vertical="center"/>
    </xf>
    <xf numFmtId="0" fontId="0" fillId="0" borderId="280" xfId="0" applyBorder="1"/>
    <xf numFmtId="0" fontId="2" fillId="0" borderId="0" xfId="0" applyFont="1" applyAlignment="1">
      <alignment horizontal="center" vertical="center"/>
    </xf>
    <xf numFmtId="2" fontId="0" fillId="0" borderId="236" xfId="0" applyNumberFormat="1" applyBorder="1" applyAlignment="1">
      <alignment horizontal="center" vertical="center"/>
    </xf>
    <xf numFmtId="2" fontId="0" fillId="0" borderId="137" xfId="0" applyNumberFormat="1" applyFill="1" applyBorder="1" applyAlignment="1">
      <alignment horizontal="center" vertical="center"/>
    </xf>
    <xf numFmtId="2" fontId="0" fillId="0" borderId="9" xfId="0" applyNumberFormat="1" applyFill="1" applyBorder="1" applyAlignment="1">
      <alignment horizontal="center" vertical="center"/>
    </xf>
    <xf numFmtId="2" fontId="0" fillId="0" borderId="130" xfId="0" applyNumberFormat="1" applyFill="1" applyBorder="1" applyAlignment="1">
      <alignment horizontal="center" vertical="center"/>
    </xf>
    <xf numFmtId="2" fontId="0" fillId="0" borderId="159" xfId="0" applyNumberFormat="1" applyFill="1" applyBorder="1" applyAlignment="1">
      <alignment horizontal="center" vertical="center"/>
    </xf>
    <xf numFmtId="2" fontId="0" fillId="0" borderId="254" xfId="0" applyNumberFormat="1" applyFill="1" applyBorder="1" applyAlignment="1">
      <alignment horizontal="center" vertical="center"/>
    </xf>
    <xf numFmtId="2" fontId="0" fillId="0" borderId="222" xfId="0" applyNumberFormat="1" applyBorder="1" applyAlignment="1">
      <alignment horizontal="center" vertical="center"/>
    </xf>
    <xf numFmtId="2" fontId="0" fillId="0" borderId="159" xfId="0" applyNumberFormat="1" applyBorder="1" applyAlignment="1">
      <alignment horizontal="center" vertical="center"/>
    </xf>
    <xf numFmtId="2" fontId="0" fillId="0" borderId="254" xfId="0" applyNumberFormat="1" applyBorder="1" applyAlignment="1">
      <alignment horizontal="center" vertical="center"/>
    </xf>
    <xf numFmtId="2" fontId="0" fillId="0" borderId="231" xfId="0" applyNumberFormat="1" applyBorder="1" applyAlignment="1">
      <alignment horizontal="center" vertical="center"/>
    </xf>
    <xf numFmtId="2" fontId="0" fillId="0" borderId="269" xfId="0" applyNumberFormat="1" applyBorder="1" applyAlignment="1">
      <alignment horizontal="center" vertical="center"/>
    </xf>
    <xf numFmtId="2" fontId="0" fillId="0" borderId="157" xfId="1" applyNumberFormat="1" applyFont="1" applyBorder="1" applyAlignment="1">
      <alignment horizontal="center" vertical="center"/>
    </xf>
    <xf numFmtId="2" fontId="0" fillId="0" borderId="148" xfId="1" applyNumberFormat="1" applyFont="1" applyBorder="1" applyAlignment="1">
      <alignment horizontal="center" vertical="center"/>
    </xf>
    <xf numFmtId="2" fontId="0" fillId="0" borderId="137" xfId="1" applyNumberFormat="1" applyFont="1" applyBorder="1" applyAlignment="1">
      <alignment horizontal="center" vertical="center"/>
    </xf>
    <xf numFmtId="2" fontId="0" fillId="0" borderId="9" xfId="1" applyNumberFormat="1" applyFont="1" applyBorder="1" applyAlignment="1">
      <alignment horizontal="center" vertical="center"/>
    </xf>
    <xf numFmtId="2" fontId="0" fillId="0" borderId="130" xfId="1" applyNumberFormat="1" applyFont="1" applyBorder="1" applyAlignment="1">
      <alignment horizontal="center" vertical="center"/>
    </xf>
    <xf numFmtId="2" fontId="0" fillId="0" borderId="236" xfId="1" applyNumberFormat="1" applyFont="1" applyBorder="1" applyAlignment="1">
      <alignment horizontal="center" vertical="center"/>
    </xf>
    <xf numFmtId="2" fontId="0" fillId="0" borderId="159" xfId="1" applyNumberFormat="1" applyFont="1" applyBorder="1" applyAlignment="1">
      <alignment horizontal="center" vertical="center"/>
    </xf>
    <xf numFmtId="2" fontId="0" fillId="0" borderId="222" xfId="1" applyNumberFormat="1" applyFont="1" applyBorder="1" applyAlignment="1">
      <alignment horizontal="center" vertical="center"/>
    </xf>
    <xf numFmtId="2" fontId="0" fillId="0" borderId="231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0" fillId="0" borderId="280" xfId="0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44" xfId="0" applyFont="1" applyBorder="1" applyAlignment="1">
      <alignment vertical="center"/>
    </xf>
    <xf numFmtId="168" fontId="37" fillId="0" borderId="137" xfId="0" applyNumberFormat="1" applyFont="1" applyFill="1" applyBorder="1" applyAlignment="1">
      <alignment horizontal="center" vertical="center"/>
    </xf>
    <xf numFmtId="168" fontId="0" fillId="0" borderId="137" xfId="0" applyNumberFormat="1" applyBorder="1" applyAlignment="1">
      <alignment horizontal="center" vertical="center"/>
    </xf>
    <xf numFmtId="168" fontId="37" fillId="10" borderId="137" xfId="0" applyNumberFormat="1" applyFont="1" applyFill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 wrapText="1"/>
    </xf>
    <xf numFmtId="0" fontId="34" fillId="0" borderId="20" xfId="0" applyFont="1" applyBorder="1" applyAlignment="1">
      <alignment horizontal="center" vertical="center" wrapText="1"/>
    </xf>
    <xf numFmtId="0" fontId="31" fillId="0" borderId="101" xfId="0" applyFont="1" applyBorder="1" applyAlignment="1">
      <alignment horizontal="center" vertical="center" wrapText="1"/>
    </xf>
    <xf numFmtId="0" fontId="31" fillId="0" borderId="114" xfId="0" applyFont="1" applyBorder="1" applyAlignment="1">
      <alignment horizontal="center" vertical="center"/>
    </xf>
    <xf numFmtId="0" fontId="31" fillId="0" borderId="109" xfId="0" applyFont="1" applyBorder="1" applyAlignment="1">
      <alignment horizontal="center" vertical="center"/>
    </xf>
    <xf numFmtId="0" fontId="31" fillId="6" borderId="113" xfId="0" applyFont="1" applyFill="1" applyBorder="1" applyAlignment="1">
      <alignment horizontal="center" vertical="center" wrapText="1"/>
    </xf>
    <xf numFmtId="0" fontId="31" fillId="6" borderId="32" xfId="0" applyFont="1" applyFill="1" applyBorder="1" applyAlignment="1">
      <alignment horizontal="center" vertical="center" wrapText="1"/>
    </xf>
    <xf numFmtId="0" fontId="31" fillId="6" borderId="121" xfId="0" applyFont="1" applyFill="1" applyBorder="1" applyAlignment="1">
      <alignment horizontal="center" vertical="center" wrapText="1"/>
    </xf>
    <xf numFmtId="0" fontId="31" fillId="6" borderId="102" xfId="0" applyFont="1" applyFill="1" applyBorder="1" applyAlignment="1">
      <alignment horizontal="center" vertical="center"/>
    </xf>
    <xf numFmtId="0" fontId="31" fillId="6" borderId="101" xfId="0" applyFont="1" applyFill="1" applyBorder="1" applyAlignment="1">
      <alignment horizontal="center" vertical="center" wrapText="1"/>
    </xf>
    <xf numFmtId="0" fontId="31" fillId="6" borderId="114" xfId="0" applyFont="1" applyFill="1" applyBorder="1" applyAlignment="1">
      <alignment horizontal="center" vertical="center"/>
    </xf>
    <xf numFmtId="0" fontId="31" fillId="6" borderId="155" xfId="0" applyFont="1" applyFill="1" applyBorder="1" applyAlignment="1">
      <alignment horizontal="center" vertical="center"/>
    </xf>
    <xf numFmtId="0" fontId="31" fillId="6" borderId="102" xfId="0" applyFont="1" applyFill="1" applyBorder="1" applyAlignment="1">
      <alignment horizontal="center" vertical="center" wrapText="1"/>
    </xf>
    <xf numFmtId="0" fontId="31" fillId="6" borderId="20" xfId="0" applyFont="1" applyFill="1" applyBorder="1" applyAlignment="1">
      <alignment horizontal="center" vertical="center" wrapText="1"/>
    </xf>
    <xf numFmtId="0" fontId="31" fillId="6" borderId="19" xfId="0" applyFont="1" applyFill="1" applyBorder="1" applyAlignment="1">
      <alignment horizontal="center" vertical="center" wrapText="1"/>
    </xf>
    <xf numFmtId="0" fontId="31" fillId="6" borderId="20" xfId="0" applyFont="1" applyFill="1" applyBorder="1" applyAlignment="1">
      <alignment horizontal="center" vertical="center"/>
    </xf>
    <xf numFmtId="0" fontId="31" fillId="6" borderId="19" xfId="0" applyFont="1" applyFill="1" applyBorder="1" applyAlignment="1">
      <alignment horizontal="center" vertical="center"/>
    </xf>
    <xf numFmtId="0" fontId="33" fillId="0" borderId="20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 wrapText="1"/>
    </xf>
    <xf numFmtId="0" fontId="34" fillId="0" borderId="102" xfId="0" applyFont="1" applyBorder="1" applyAlignment="1">
      <alignment horizontal="center" vertical="center" wrapText="1"/>
    </xf>
    <xf numFmtId="0" fontId="31" fillId="6" borderId="103" xfId="0" applyFont="1" applyFill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 wrapText="1"/>
    </xf>
    <xf numFmtId="0" fontId="34" fillId="0" borderId="103" xfId="0" applyFont="1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 wrapText="1"/>
    </xf>
    <xf numFmtId="0" fontId="31" fillId="6" borderId="132" xfId="0" applyFont="1" applyFill="1" applyBorder="1" applyAlignment="1">
      <alignment horizontal="center" vertical="center" wrapText="1"/>
    </xf>
    <xf numFmtId="0" fontId="31" fillId="6" borderId="28" xfId="0" applyFont="1" applyFill="1" applyBorder="1" applyAlignment="1">
      <alignment horizontal="center" vertical="center"/>
    </xf>
    <xf numFmtId="0" fontId="33" fillId="0" borderId="102" xfId="0" applyFont="1" applyBorder="1" applyAlignment="1">
      <alignment horizontal="center" vertical="center" wrapText="1"/>
    </xf>
    <xf numFmtId="0" fontId="33" fillId="0" borderId="102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1" fillId="0" borderId="274" xfId="0" applyFont="1" applyBorder="1" applyAlignment="1">
      <alignment horizontal="center" vertical="center" wrapText="1"/>
    </xf>
    <xf numFmtId="0" fontId="31" fillId="0" borderId="273" xfId="0" applyFont="1" applyBorder="1" applyAlignment="1">
      <alignment horizontal="center" vertical="center" wrapText="1"/>
    </xf>
    <xf numFmtId="0" fontId="31" fillId="0" borderId="275" xfId="0" applyFont="1" applyBorder="1" applyAlignment="1">
      <alignment horizontal="center" vertical="center" wrapText="1"/>
    </xf>
    <xf numFmtId="0" fontId="32" fillId="0" borderId="105" xfId="0" applyFont="1" applyBorder="1" applyAlignment="1">
      <alignment horizontal="center" vertical="center" wrapText="1"/>
    </xf>
    <xf numFmtId="0" fontId="32" fillId="0" borderId="106" xfId="0" applyFont="1" applyBorder="1" applyAlignment="1">
      <alignment horizontal="center" vertical="center" wrapText="1"/>
    </xf>
    <xf numFmtId="0" fontId="32" fillId="0" borderId="107" xfId="0" applyFont="1" applyBorder="1" applyAlignment="1">
      <alignment horizontal="center" vertical="center" wrapText="1"/>
    </xf>
    <xf numFmtId="0" fontId="31" fillId="6" borderId="118" xfId="0" applyFont="1" applyFill="1" applyBorder="1" applyAlignment="1">
      <alignment horizontal="center" vertical="center" wrapText="1"/>
    </xf>
    <xf numFmtId="0" fontId="31" fillId="6" borderId="104" xfId="0" applyFont="1" applyFill="1" applyBorder="1" applyAlignment="1">
      <alignment horizontal="center" vertical="center"/>
    </xf>
    <xf numFmtId="0" fontId="7" fillId="0" borderId="93" xfId="0" applyFont="1" applyBorder="1" applyAlignment="1">
      <alignment horizontal="center" vertical="center"/>
    </xf>
    <xf numFmtId="0" fontId="7" fillId="0" borderId="10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48" xfId="0" applyFont="1" applyBorder="1" applyAlignment="1">
      <alignment horizontal="center" vertical="center"/>
    </xf>
    <xf numFmtId="0" fontId="2" fillId="0" borderId="53" xfId="0" applyFont="1" applyBorder="1" applyAlignment="1">
      <alignment horizontal="left" vertical="center"/>
    </xf>
    <xf numFmtId="0" fontId="2" fillId="0" borderId="54" xfId="0" applyFont="1" applyBorder="1" applyAlignment="1">
      <alignment horizontal="left" vertical="center"/>
    </xf>
    <xf numFmtId="0" fontId="2" fillId="0" borderId="55" xfId="0" applyFont="1" applyBorder="1" applyAlignment="1">
      <alignment horizontal="left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 wrapText="1"/>
    </xf>
    <xf numFmtId="0" fontId="2" fillId="2" borderId="89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 wrapText="1"/>
    </xf>
    <xf numFmtId="0" fontId="2" fillId="2" borderId="97" xfId="0" applyFont="1" applyFill="1" applyBorder="1" applyAlignment="1">
      <alignment horizontal="center" vertical="center"/>
    </xf>
    <xf numFmtId="165" fontId="0" fillId="0" borderId="91" xfId="1" applyNumberFormat="1" applyFont="1" applyBorder="1" applyAlignment="1">
      <alignment horizontal="center" vertical="center"/>
    </xf>
    <xf numFmtId="165" fontId="0" fillId="0" borderId="89" xfId="1" applyNumberFormat="1" applyFont="1" applyBorder="1" applyAlignment="1">
      <alignment horizontal="center" vertical="center"/>
    </xf>
    <xf numFmtId="0" fontId="2" fillId="2" borderId="87" xfId="0" applyFont="1" applyFill="1" applyBorder="1" applyAlignment="1">
      <alignment horizontal="center" vertical="center"/>
    </xf>
    <xf numFmtId="0" fontId="2" fillId="2" borderId="139" xfId="0" applyFont="1" applyFill="1" applyBorder="1" applyAlignment="1">
      <alignment horizontal="center" vertical="center"/>
    </xf>
    <xf numFmtId="0" fontId="2" fillId="2" borderId="64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0" borderId="228" xfId="0" applyFont="1" applyBorder="1" applyAlignment="1">
      <alignment horizontal="center" vertical="center"/>
    </xf>
    <xf numFmtId="0" fontId="2" fillId="0" borderId="230" xfId="0" applyFont="1" applyBorder="1" applyAlignment="1">
      <alignment horizontal="center" vertical="center"/>
    </xf>
    <xf numFmtId="0" fontId="2" fillId="2" borderId="65" xfId="0" applyFont="1" applyFill="1" applyBorder="1" applyAlignment="1">
      <alignment horizontal="center" vertical="center" wrapText="1"/>
    </xf>
    <xf numFmtId="0" fontId="2" fillId="2" borderId="152" xfId="0" applyFont="1" applyFill="1" applyBorder="1" applyAlignment="1">
      <alignment horizontal="center" vertical="center" wrapText="1"/>
    </xf>
    <xf numFmtId="0" fontId="2" fillId="2" borderId="160" xfId="0" applyFont="1" applyFill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165" fontId="2" fillId="2" borderId="162" xfId="1" applyNumberFormat="1" applyFont="1" applyFill="1" applyBorder="1" applyAlignment="1">
      <alignment horizontal="center" vertical="center"/>
    </xf>
    <xf numFmtId="165" fontId="2" fillId="2" borderId="163" xfId="1" applyNumberFormat="1" applyFont="1" applyFill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2" fillId="0" borderId="156" xfId="0" applyFont="1" applyBorder="1" applyAlignment="1">
      <alignment horizontal="center" vertical="center"/>
    </xf>
    <xf numFmtId="0" fontId="2" fillId="0" borderId="259" xfId="0" applyFont="1" applyBorder="1" applyAlignment="1">
      <alignment horizontal="center" vertical="center"/>
    </xf>
    <xf numFmtId="0" fontId="2" fillId="0" borderId="258" xfId="0" applyFont="1" applyBorder="1" applyAlignment="1">
      <alignment horizontal="center" vertical="center"/>
    </xf>
    <xf numFmtId="0" fontId="2" fillId="0" borderId="260" xfId="0" applyFont="1" applyBorder="1" applyAlignment="1">
      <alignment horizontal="center" vertical="center"/>
    </xf>
    <xf numFmtId="0" fontId="2" fillId="0" borderId="276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47" xfId="0" applyFont="1" applyBorder="1" applyAlignment="1">
      <alignment horizontal="center" vertical="center"/>
    </xf>
    <xf numFmtId="0" fontId="2" fillId="0" borderId="281" xfId="0" applyFont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6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50" xfId="0" applyFont="1" applyFill="1" applyBorder="1" applyAlignment="1">
      <alignment horizontal="center" vertical="center"/>
    </xf>
    <xf numFmtId="0" fontId="2" fillId="2" borderId="151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40" xfId="0" applyFont="1" applyFill="1" applyBorder="1" applyAlignment="1">
      <alignment horizontal="center" vertical="center"/>
    </xf>
    <xf numFmtId="165" fontId="30" fillId="0" borderId="175" xfId="1" applyNumberFormat="1" applyFont="1" applyBorder="1" applyAlignment="1">
      <alignment horizontal="center" vertical="center"/>
    </xf>
    <xf numFmtId="165" fontId="30" fillId="0" borderId="58" xfId="1" applyNumberFormat="1" applyFont="1" applyBorder="1" applyAlignment="1">
      <alignment horizontal="center" vertical="center"/>
    </xf>
    <xf numFmtId="165" fontId="30" fillId="0" borderId="171" xfId="1" applyNumberFormat="1" applyFont="1" applyBorder="1" applyAlignment="1">
      <alignment horizontal="center" vertical="center"/>
    </xf>
    <xf numFmtId="0" fontId="31" fillId="2" borderId="165" xfId="0" applyFont="1" applyFill="1" applyBorder="1" applyAlignment="1">
      <alignment horizontal="center" vertical="center" wrapText="1"/>
    </xf>
    <xf numFmtId="0" fontId="31" fillId="2" borderId="165" xfId="0" applyFont="1" applyFill="1" applyBorder="1" applyAlignment="1">
      <alignment horizontal="center" vertical="center"/>
    </xf>
    <xf numFmtId="0" fontId="31" fillId="2" borderId="166" xfId="0" applyFont="1" applyFill="1" applyBorder="1" applyAlignment="1">
      <alignment horizontal="center" vertical="center"/>
    </xf>
    <xf numFmtId="0" fontId="31" fillId="2" borderId="167" xfId="0" applyFont="1" applyFill="1" applyBorder="1" applyAlignment="1">
      <alignment horizontal="center" vertical="center"/>
    </xf>
    <xf numFmtId="0" fontId="31" fillId="2" borderId="168" xfId="0" applyFont="1" applyFill="1" applyBorder="1" applyAlignment="1">
      <alignment horizontal="center" vertical="center"/>
    </xf>
    <xf numFmtId="0" fontId="31" fillId="2" borderId="166" xfId="0" applyFont="1" applyFill="1" applyBorder="1" applyAlignment="1">
      <alignment horizontal="center" vertical="center" wrapText="1"/>
    </xf>
    <xf numFmtId="0" fontId="31" fillId="2" borderId="204" xfId="0" applyFont="1" applyFill="1" applyBorder="1" applyAlignment="1">
      <alignment horizontal="center" vertical="center" wrapText="1"/>
    </xf>
    <xf numFmtId="0" fontId="31" fillId="0" borderId="174" xfId="0" applyFont="1" applyBorder="1" applyAlignment="1">
      <alignment horizontal="center" vertical="center"/>
    </xf>
    <xf numFmtId="0" fontId="31" fillId="0" borderId="82" xfId="0" applyFont="1" applyBorder="1" applyAlignment="1">
      <alignment horizontal="center" vertical="center"/>
    </xf>
    <xf numFmtId="0" fontId="31" fillId="0" borderId="172" xfId="0" applyFont="1" applyBorder="1" applyAlignment="1">
      <alignment horizontal="center" vertical="center"/>
    </xf>
    <xf numFmtId="165" fontId="41" fillId="0" borderId="216" xfId="1" applyNumberFormat="1" applyFont="1" applyBorder="1" applyAlignment="1">
      <alignment horizontal="center" vertical="center" wrapText="1"/>
    </xf>
    <xf numFmtId="165" fontId="41" fillId="0" borderId="85" xfId="1" applyNumberFormat="1" applyFont="1" applyBorder="1" applyAlignment="1">
      <alignment horizontal="center" vertical="center" wrapText="1"/>
    </xf>
    <xf numFmtId="0" fontId="31" fillId="0" borderId="80" xfId="0" applyFont="1" applyBorder="1" applyAlignment="1">
      <alignment horizontal="center" vertical="center"/>
    </xf>
    <xf numFmtId="165" fontId="30" fillId="0" borderId="57" xfId="1" applyNumberFormat="1" applyFont="1" applyBorder="1" applyAlignment="1">
      <alignment horizontal="center" vertical="center"/>
    </xf>
    <xf numFmtId="9" fontId="31" fillId="0" borderId="207" xfId="3" applyFont="1" applyBorder="1" applyAlignment="1">
      <alignment horizontal="center" vertical="center"/>
    </xf>
    <xf numFmtId="9" fontId="31" fillId="0" borderId="210" xfId="3" applyFont="1" applyBorder="1" applyAlignment="1">
      <alignment horizontal="center" vertical="center"/>
    </xf>
    <xf numFmtId="165" fontId="41" fillId="0" borderId="209" xfId="1" applyNumberFormat="1" applyFont="1" applyBorder="1" applyAlignment="1">
      <alignment horizontal="center" vertical="center"/>
    </xf>
    <xf numFmtId="165" fontId="41" fillId="0" borderId="176" xfId="1" applyNumberFormat="1" applyFont="1" applyBorder="1" applyAlignment="1">
      <alignment horizontal="center" vertical="center"/>
    </xf>
    <xf numFmtId="165" fontId="41" fillId="0" borderId="211" xfId="1" applyNumberFormat="1" applyFont="1" applyBorder="1" applyAlignment="1">
      <alignment horizontal="center" vertical="center"/>
    </xf>
    <xf numFmtId="165" fontId="41" fillId="0" borderId="215" xfId="1" applyNumberFormat="1" applyFont="1" applyBorder="1" applyAlignment="1">
      <alignment horizontal="center" vertical="center"/>
    </xf>
    <xf numFmtId="165" fontId="41" fillId="0" borderId="218" xfId="1" applyNumberFormat="1" applyFont="1" applyBorder="1" applyAlignment="1">
      <alignment horizontal="center" vertical="center"/>
    </xf>
    <xf numFmtId="165" fontId="41" fillId="0" borderId="219" xfId="1" applyNumberFormat="1" applyFont="1" applyBorder="1" applyAlignment="1">
      <alignment horizontal="center" vertical="center" wrapText="1"/>
    </xf>
    <xf numFmtId="165" fontId="41" fillId="0" borderId="81" xfId="1" applyNumberFormat="1" applyFont="1" applyBorder="1" applyAlignment="1">
      <alignment horizontal="center" vertical="center" wrapText="1"/>
    </xf>
    <xf numFmtId="165" fontId="41" fillId="0" borderId="212" xfId="1" applyNumberFormat="1" applyFont="1" applyBorder="1" applyAlignment="1">
      <alignment horizontal="center" vertical="center" wrapText="1"/>
    </xf>
    <xf numFmtId="165" fontId="40" fillId="0" borderId="187" xfId="1" applyNumberFormat="1" applyFont="1" applyBorder="1" applyAlignment="1">
      <alignment horizontal="center" vertical="center"/>
    </xf>
    <xf numFmtId="165" fontId="40" fillId="0" borderId="9" xfId="1" applyNumberFormat="1" applyFont="1" applyBorder="1" applyAlignment="1">
      <alignment horizontal="center" vertical="center"/>
    </xf>
    <xf numFmtId="0" fontId="31" fillId="0" borderId="189" xfId="0" applyFont="1" applyBorder="1" applyAlignment="1">
      <alignment horizontal="left" vertical="center"/>
    </xf>
    <xf numFmtId="165" fontId="30" fillId="0" borderId="9" xfId="1" applyNumberFormat="1" applyFont="1" applyBorder="1" applyAlignment="1">
      <alignment horizontal="center" vertical="center"/>
    </xf>
    <xf numFmtId="165" fontId="30" fillId="0" borderId="187" xfId="1" applyNumberFormat="1" applyFont="1" applyBorder="1" applyAlignment="1">
      <alignment horizontal="center" vertical="center"/>
    </xf>
    <xf numFmtId="165" fontId="30" fillId="0" borderId="130" xfId="1" applyNumberFormat="1" applyFont="1" applyBorder="1" applyAlignment="1">
      <alignment horizontal="center" vertical="center"/>
    </xf>
    <xf numFmtId="9" fontId="31" fillId="0" borderId="213" xfId="3" applyFont="1" applyBorder="1" applyAlignment="1">
      <alignment horizontal="center" vertical="center"/>
    </xf>
    <xf numFmtId="9" fontId="31" fillId="0" borderId="58" xfId="3" applyFont="1" applyBorder="1" applyAlignment="1">
      <alignment horizontal="center" vertical="center"/>
    </xf>
    <xf numFmtId="9" fontId="31" fillId="0" borderId="208" xfId="3" applyFont="1" applyBorder="1" applyAlignment="1">
      <alignment horizontal="center" vertical="center"/>
    </xf>
    <xf numFmtId="165" fontId="30" fillId="0" borderId="137" xfId="1" applyNumberFormat="1" applyFont="1" applyBorder="1" applyAlignment="1">
      <alignment horizontal="center" vertical="center"/>
    </xf>
    <xf numFmtId="9" fontId="31" fillId="0" borderId="137" xfId="3" applyNumberFormat="1" applyFont="1" applyBorder="1" applyAlignment="1">
      <alignment horizontal="center" vertical="center"/>
    </xf>
    <xf numFmtId="9" fontId="31" fillId="0" borderId="9" xfId="3" applyNumberFormat="1" applyFont="1" applyBorder="1" applyAlignment="1">
      <alignment horizontal="center" vertical="center"/>
    </xf>
    <xf numFmtId="165" fontId="40" fillId="0" borderId="130" xfId="1" applyNumberFormat="1" applyFont="1" applyBorder="1" applyAlignment="1">
      <alignment horizontal="center" vertical="center"/>
    </xf>
    <xf numFmtId="165" fontId="31" fillId="2" borderId="195" xfId="1" applyNumberFormat="1" applyFont="1" applyFill="1" applyBorder="1" applyAlignment="1">
      <alignment horizontal="center" vertical="center" wrapText="1"/>
    </xf>
    <xf numFmtId="165" fontId="31" fillId="2" borderId="196" xfId="1" applyNumberFormat="1" applyFont="1" applyFill="1" applyBorder="1" applyAlignment="1">
      <alignment horizontal="center" vertical="center" wrapText="1"/>
    </xf>
    <xf numFmtId="9" fontId="38" fillId="0" borderId="1" xfId="3" applyFont="1" applyBorder="1" applyAlignment="1">
      <alignment horizontal="left" vertical="center" wrapText="1"/>
    </xf>
    <xf numFmtId="9" fontId="31" fillId="0" borderId="2" xfId="3" applyFont="1" applyBorder="1" applyAlignment="1">
      <alignment horizontal="left" vertical="center"/>
    </xf>
    <xf numFmtId="9" fontId="31" fillId="0" borderId="3" xfId="3" applyFont="1" applyBorder="1" applyAlignment="1">
      <alignment horizontal="left" vertical="center"/>
    </xf>
    <xf numFmtId="9" fontId="31" fillId="0" borderId="73" xfId="3" applyFont="1" applyBorder="1" applyAlignment="1">
      <alignment horizontal="left" vertical="center"/>
    </xf>
    <xf numFmtId="9" fontId="31" fillId="0" borderId="0" xfId="3" applyFont="1" applyBorder="1" applyAlignment="1">
      <alignment horizontal="left" vertical="center"/>
    </xf>
    <xf numFmtId="9" fontId="31" fillId="0" borderId="200" xfId="3" applyFont="1" applyBorder="1" applyAlignment="1">
      <alignment horizontal="left" vertical="center"/>
    </xf>
    <xf numFmtId="9" fontId="31" fillId="0" borderId="67" xfId="3" applyFont="1" applyBorder="1" applyAlignment="1">
      <alignment horizontal="left" vertical="center"/>
    </xf>
    <xf numFmtId="9" fontId="31" fillId="0" borderId="48" xfId="3" applyFont="1" applyBorder="1" applyAlignment="1">
      <alignment horizontal="left" vertical="center"/>
    </xf>
    <xf numFmtId="9" fontId="31" fillId="0" borderId="264" xfId="3" applyFont="1" applyBorder="1" applyAlignment="1">
      <alignment horizontal="left" vertical="center"/>
    </xf>
    <xf numFmtId="165" fontId="30" fillId="0" borderId="198" xfId="1" applyNumberFormat="1" applyFont="1" applyBorder="1" applyAlignment="1">
      <alignment horizontal="left" vertical="center" wrapText="1"/>
    </xf>
    <xf numFmtId="165" fontId="30" fillId="0" borderId="199" xfId="1" applyNumberFormat="1" applyFont="1" applyBorder="1" applyAlignment="1">
      <alignment horizontal="left" vertical="center" wrapText="1"/>
    </xf>
    <xf numFmtId="0" fontId="13" fillId="9" borderId="202" xfId="0" applyFont="1" applyFill="1" applyBorder="1" applyAlignment="1">
      <alignment horizontal="left" vertical="center" wrapText="1"/>
    </xf>
    <xf numFmtId="0" fontId="13" fillId="9" borderId="13" xfId="0" applyFont="1" applyFill="1" applyBorder="1" applyAlignment="1">
      <alignment horizontal="left" vertical="center" wrapText="1"/>
    </xf>
    <xf numFmtId="0" fontId="13" fillId="9" borderId="14" xfId="0" applyFont="1" applyFill="1" applyBorder="1" applyAlignment="1">
      <alignment horizontal="left" vertical="center" wrapText="1"/>
    </xf>
    <xf numFmtId="0" fontId="31" fillId="2" borderId="203" xfId="0" applyFont="1" applyFill="1" applyBorder="1" applyAlignment="1">
      <alignment horizontal="center" vertical="center" wrapText="1"/>
    </xf>
    <xf numFmtId="0" fontId="31" fillId="2" borderId="205" xfId="0" applyFont="1" applyFill="1" applyBorder="1" applyAlignment="1">
      <alignment horizontal="center" vertical="center" wrapText="1"/>
    </xf>
    <xf numFmtId="165" fontId="40" fillId="0" borderId="190" xfId="1" applyNumberFormat="1" applyFont="1" applyBorder="1" applyAlignment="1">
      <alignment horizontal="center" vertical="center"/>
    </xf>
    <xf numFmtId="165" fontId="40" fillId="0" borderId="192" xfId="1" applyNumberFormat="1" applyFont="1" applyBorder="1" applyAlignment="1">
      <alignment horizontal="center" vertical="center"/>
    </xf>
    <xf numFmtId="0" fontId="31" fillId="0" borderId="191" xfId="0" applyFont="1" applyBorder="1" applyAlignment="1">
      <alignment horizontal="left" vertical="center"/>
    </xf>
    <xf numFmtId="165" fontId="30" fillId="0" borderId="262" xfId="1" applyNumberFormat="1" applyFont="1" applyBorder="1" applyAlignment="1">
      <alignment horizontal="left" vertical="center" wrapText="1"/>
    </xf>
    <xf numFmtId="165" fontId="30" fillId="0" borderId="263" xfId="1" applyNumberFormat="1" applyFont="1" applyBorder="1" applyAlignment="1">
      <alignment horizontal="left" vertical="center" wrapText="1"/>
    </xf>
    <xf numFmtId="0" fontId="13" fillId="0" borderId="179" xfId="0" applyFont="1" applyBorder="1" applyAlignment="1">
      <alignment horizontal="center" vertical="center" wrapText="1"/>
    </xf>
    <xf numFmtId="0" fontId="13" fillId="0" borderId="180" xfId="0" applyFont="1" applyBorder="1" applyAlignment="1">
      <alignment horizontal="center" vertical="center" wrapText="1"/>
    </xf>
    <xf numFmtId="0" fontId="13" fillId="0" borderId="181" xfId="0" applyFont="1" applyBorder="1" applyAlignment="1">
      <alignment horizontal="center" vertical="center" wrapText="1"/>
    </xf>
    <xf numFmtId="0" fontId="13" fillId="9" borderId="12" xfId="0" applyFont="1" applyFill="1" applyBorder="1" applyAlignment="1">
      <alignment horizontal="left" vertical="center" wrapText="1"/>
    </xf>
    <xf numFmtId="0" fontId="13" fillId="9" borderId="182" xfId="0" applyFont="1" applyFill="1" applyBorder="1" applyAlignment="1">
      <alignment horizontal="left" vertical="center" wrapText="1"/>
    </xf>
    <xf numFmtId="0" fontId="31" fillId="2" borderId="183" xfId="0" applyFont="1" applyFill="1" applyBorder="1" applyAlignment="1">
      <alignment horizontal="center" vertical="center" wrapText="1"/>
    </xf>
    <xf numFmtId="0" fontId="31" fillId="2" borderId="184" xfId="0" applyFont="1" applyFill="1" applyBorder="1" applyAlignment="1">
      <alignment horizontal="center" vertical="center" wrapText="1"/>
    </xf>
    <xf numFmtId="165" fontId="40" fillId="0" borderId="188" xfId="1" applyNumberFormat="1" applyFont="1" applyBorder="1" applyAlignment="1">
      <alignment horizontal="center" vertical="center"/>
    </xf>
    <xf numFmtId="0" fontId="31" fillId="2" borderId="164" xfId="0" applyFont="1" applyFill="1" applyBorder="1" applyAlignment="1">
      <alignment horizontal="center" vertical="center" wrapText="1"/>
    </xf>
    <xf numFmtId="0" fontId="31" fillId="2" borderId="169" xfId="0" applyFont="1" applyFill="1" applyBorder="1" applyAlignment="1">
      <alignment horizontal="center" vertical="center"/>
    </xf>
    <xf numFmtId="0" fontId="31" fillId="0" borderId="186" xfId="0" applyFont="1" applyBorder="1" applyAlignment="1">
      <alignment horizontal="left" vertical="center"/>
    </xf>
    <xf numFmtId="9" fontId="31" fillId="0" borderId="187" xfId="3" applyNumberFormat="1" applyFont="1" applyBorder="1" applyAlignment="1">
      <alignment horizontal="center" vertical="center"/>
    </xf>
    <xf numFmtId="9" fontId="31" fillId="0" borderId="130" xfId="3" applyNumberFormat="1" applyFont="1" applyBorder="1" applyAlignment="1">
      <alignment horizontal="center" vertical="center"/>
    </xf>
    <xf numFmtId="165" fontId="0" fillId="0" borderId="113" xfId="1" applyNumberFormat="1" applyFont="1" applyBorder="1" applyAlignment="1">
      <alignment horizontal="center" vertical="center"/>
    </xf>
    <xf numFmtId="165" fontId="0" fillId="0" borderId="32" xfId="1" applyNumberFormat="1" applyFont="1" applyBorder="1" applyAlignment="1">
      <alignment horizontal="center" vertical="center"/>
    </xf>
    <xf numFmtId="165" fontId="0" fillId="0" borderId="117" xfId="1" applyNumberFormat="1" applyFont="1" applyBorder="1" applyAlignment="1">
      <alignment horizontal="center" vertical="center"/>
    </xf>
    <xf numFmtId="0" fontId="2" fillId="0" borderId="105" xfId="0" applyFont="1" applyBorder="1" applyAlignment="1">
      <alignment horizontal="left" vertical="center"/>
    </xf>
    <xf numFmtId="0" fontId="2" fillId="0" borderId="106" xfId="0" applyFont="1" applyBorder="1" applyAlignment="1">
      <alignment horizontal="left" vertical="center"/>
    </xf>
    <xf numFmtId="0" fontId="2" fillId="0" borderId="107" xfId="0" applyFont="1" applyBorder="1" applyAlignment="1">
      <alignment horizontal="left" vertical="center"/>
    </xf>
    <xf numFmtId="165" fontId="0" fillId="0" borderId="63" xfId="1" applyNumberFormat="1" applyFont="1" applyBorder="1" applyAlignment="1">
      <alignment horizontal="center" vertical="center"/>
    </xf>
    <xf numFmtId="165" fontId="7" fillId="0" borderId="108" xfId="1" applyNumberFormat="1" applyFont="1" applyBorder="1" applyAlignment="1">
      <alignment horizontal="center" vertical="center"/>
    </xf>
    <xf numFmtId="165" fontId="7" fillId="0" borderId="115" xfId="1" applyNumberFormat="1" applyFont="1" applyBorder="1" applyAlignment="1">
      <alignment horizontal="center" vertical="center"/>
    </xf>
    <xf numFmtId="165" fontId="7" fillId="0" borderId="116" xfId="1" applyNumberFormat="1" applyFont="1" applyBorder="1" applyAlignment="1">
      <alignment horizontal="center" vertical="center"/>
    </xf>
    <xf numFmtId="0" fontId="2" fillId="2" borderId="108" xfId="0" applyFont="1" applyFill="1" applyBorder="1" applyAlignment="1">
      <alignment horizontal="center" vertical="center" wrapText="1"/>
    </xf>
    <xf numFmtId="0" fontId="2" fillId="2" borderId="111" xfId="0" applyFont="1" applyFill="1" applyBorder="1" applyAlignment="1">
      <alignment horizontal="center" vertical="center" wrapText="1"/>
    </xf>
    <xf numFmtId="0" fontId="2" fillId="2" borderId="101" xfId="0" applyFont="1" applyFill="1" applyBorder="1" applyAlignment="1">
      <alignment horizontal="center" vertical="center"/>
    </xf>
    <xf numFmtId="0" fontId="2" fillId="2" borderId="109" xfId="0" applyFont="1" applyFill="1" applyBorder="1" applyAlignment="1">
      <alignment horizontal="center" vertical="center"/>
    </xf>
    <xf numFmtId="0" fontId="2" fillId="2" borderId="10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5" borderId="109" xfId="0" applyFont="1" applyFill="1" applyBorder="1" applyAlignment="1">
      <alignment horizontal="center" vertical="center"/>
    </xf>
    <xf numFmtId="0" fontId="2" fillId="5" borderId="110" xfId="0" applyFont="1" applyFill="1" applyBorder="1" applyAlignment="1">
      <alignment horizontal="center" vertical="center"/>
    </xf>
    <xf numFmtId="0" fontId="2" fillId="2" borderId="103" xfId="0" applyFont="1" applyFill="1" applyBorder="1" applyAlignment="1">
      <alignment horizontal="center" vertical="center" wrapText="1"/>
    </xf>
    <xf numFmtId="0" fontId="2" fillId="2" borderId="112" xfId="0" applyFont="1" applyFill="1" applyBorder="1" applyAlignment="1">
      <alignment horizontal="center" vertical="center"/>
    </xf>
    <xf numFmtId="165" fontId="29" fillId="0" borderId="103" xfId="1" applyNumberFormat="1" applyFont="1" applyBorder="1" applyAlignment="1">
      <alignment horizontal="center" vertical="center"/>
    </xf>
    <xf numFmtId="165" fontId="29" fillId="0" borderId="118" xfId="1" applyNumberFormat="1" applyFont="1" applyBorder="1" applyAlignment="1">
      <alignment horizontal="center" vertical="center"/>
    </xf>
    <xf numFmtId="165" fontId="29" fillId="0" borderId="112" xfId="1" applyNumberFormat="1" applyFont="1" applyBorder="1" applyAlignment="1">
      <alignment horizontal="center" vertical="center"/>
    </xf>
    <xf numFmtId="0" fontId="2" fillId="2" borderId="119" xfId="0" applyFont="1" applyFill="1" applyBorder="1" applyAlignment="1">
      <alignment horizontal="center" vertical="center"/>
    </xf>
    <xf numFmtId="0" fontId="2" fillId="2" borderId="120" xfId="0" applyFont="1" applyFill="1" applyBorder="1" applyAlignment="1">
      <alignment horizontal="center" vertical="center"/>
    </xf>
    <xf numFmtId="0" fontId="2" fillId="2" borderId="121" xfId="0" applyFont="1" applyFill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3" fillId="0" borderId="60" xfId="0" applyFont="1" applyBorder="1" applyAlignment="1">
      <alignment horizontal="center" vertical="center"/>
    </xf>
    <xf numFmtId="0" fontId="13" fillId="0" borderId="61" xfId="0" applyFont="1" applyBorder="1" applyAlignment="1">
      <alignment horizontal="center" vertical="center"/>
    </xf>
    <xf numFmtId="0" fontId="31" fillId="7" borderId="119" xfId="0" applyFont="1" applyFill="1" applyBorder="1" applyAlignment="1">
      <alignment horizontal="center" vertical="center"/>
    </xf>
    <xf numFmtId="0" fontId="31" fillId="7" borderId="120" xfId="0" applyFont="1" applyFill="1" applyBorder="1" applyAlignment="1">
      <alignment horizontal="center" vertical="center"/>
    </xf>
    <xf numFmtId="0" fontId="31" fillId="7" borderId="121" xfId="0" applyFont="1" applyFill="1" applyBorder="1" applyAlignment="1">
      <alignment horizontal="center" vertical="center"/>
    </xf>
    <xf numFmtId="0" fontId="31" fillId="0" borderId="101" xfId="0" applyFont="1" applyBorder="1" applyAlignment="1">
      <alignment horizontal="left" vertical="center"/>
    </xf>
    <xf numFmtId="0" fontId="31" fillId="0" borderId="221" xfId="0" applyFont="1" applyBorder="1" applyAlignment="1">
      <alignment horizontal="left" vertical="center"/>
    </xf>
    <xf numFmtId="0" fontId="31" fillId="0" borderId="114" xfId="0" applyFont="1" applyBorder="1" applyAlignment="1">
      <alignment horizontal="left" vertical="center"/>
    </xf>
    <xf numFmtId="0" fontId="31" fillId="0" borderId="155" xfId="0" applyFont="1" applyBorder="1" applyAlignment="1">
      <alignment horizontal="left" vertical="center"/>
    </xf>
    <xf numFmtId="0" fontId="31" fillId="6" borderId="34" xfId="0" applyFont="1" applyFill="1" applyBorder="1" applyAlignment="1">
      <alignment horizontal="center" vertical="center"/>
    </xf>
    <xf numFmtId="0" fontId="31" fillId="6" borderId="37" xfId="0" applyFont="1" applyFill="1" applyBorder="1" applyAlignment="1">
      <alignment horizontal="center" vertical="center"/>
    </xf>
    <xf numFmtId="0" fontId="31" fillId="7" borderId="223" xfId="0" applyFont="1" applyFill="1" applyBorder="1" applyAlignment="1">
      <alignment horizontal="center" vertical="center"/>
    </xf>
    <xf numFmtId="0" fontId="31" fillId="7" borderId="224" xfId="0" applyFont="1" applyFill="1" applyBorder="1" applyAlignment="1">
      <alignment horizontal="center" vertical="center"/>
    </xf>
    <xf numFmtId="0" fontId="31" fillId="6" borderId="119" xfId="0" applyFont="1" applyFill="1" applyBorder="1" applyAlignment="1">
      <alignment horizontal="center" vertical="center" wrapText="1"/>
    </xf>
    <xf numFmtId="0" fontId="31" fillId="6" borderId="26" xfId="0" applyFont="1" applyFill="1" applyBorder="1" applyAlignment="1">
      <alignment horizontal="center" vertical="center" wrapText="1"/>
    </xf>
    <xf numFmtId="0" fontId="31" fillId="6" borderId="103" xfId="0" applyFont="1" applyFill="1" applyBorder="1" applyAlignment="1">
      <alignment horizontal="center" vertical="center" wrapText="1"/>
    </xf>
    <xf numFmtId="0" fontId="31" fillId="0" borderId="33" xfId="0" applyFont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/>
    </xf>
    <xf numFmtId="0" fontId="10" fillId="3" borderId="63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43" fontId="10" fillId="3" borderId="19" xfId="1" applyFont="1" applyFill="1" applyBorder="1" applyAlignment="1">
      <alignment horizontal="center" vertical="center" wrapText="1"/>
    </xf>
    <xf numFmtId="43" fontId="10" fillId="3" borderId="32" xfId="1" applyFont="1" applyFill="1" applyBorder="1" applyAlignment="1">
      <alignment horizontal="center" vertical="center" wrapText="1"/>
    </xf>
    <xf numFmtId="0" fontId="10" fillId="3" borderId="33" xfId="0" applyFont="1" applyFill="1" applyBorder="1" applyAlignment="1">
      <alignment horizontal="center" vertical="center"/>
    </xf>
    <xf numFmtId="0" fontId="10" fillId="3" borderId="32" xfId="0" applyFon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63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1" fillId="0" borderId="33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26" xfId="0" applyFont="1" applyFill="1" applyBorder="1" applyAlignment="1">
      <alignment horizontal="center" vertical="center" wrapText="1"/>
    </xf>
    <xf numFmtId="0" fontId="13" fillId="2" borderId="27" xfId="0" applyFont="1" applyFill="1" applyBorder="1" applyAlignment="1">
      <alignment horizontal="center" vertical="center" wrapText="1"/>
    </xf>
    <xf numFmtId="0" fontId="13" fillId="2" borderId="28" xfId="0" applyFont="1" applyFill="1" applyBorder="1" applyAlignment="1">
      <alignment horizontal="center" vertical="center" wrapText="1"/>
    </xf>
    <xf numFmtId="0" fontId="13" fillId="2" borderId="29" xfId="0" applyFont="1" applyFill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0" fontId="13" fillId="2" borderId="31" xfId="0" applyFont="1" applyFill="1" applyBorder="1" applyAlignment="1">
      <alignment horizontal="center" vertical="center" wrapText="1"/>
    </xf>
    <xf numFmtId="0" fontId="23" fillId="4" borderId="0" xfId="0" quotePrefix="1" applyFont="1" applyFill="1" applyAlignment="1">
      <alignment horizontal="left" vertical="center"/>
    </xf>
    <xf numFmtId="0" fontId="23" fillId="2" borderId="0" xfId="0" quotePrefix="1" applyFont="1" applyFill="1" applyAlignment="1">
      <alignment horizontal="left" vertical="center"/>
    </xf>
    <xf numFmtId="0" fontId="5" fillId="2" borderId="12" xfId="0" applyFont="1" applyFill="1" applyBorder="1" applyAlignment="1">
      <alignment horizontal="left" vertical="center"/>
    </xf>
    <xf numFmtId="0" fontId="5" fillId="2" borderId="13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3" fillId="0" borderId="43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5" fillId="2" borderId="1" xfId="0" quotePrefix="1" applyFont="1" applyFill="1" applyBorder="1" applyAlignment="1">
      <alignment horizontal="center" vertical="center"/>
    </xf>
    <xf numFmtId="0" fontId="5" fillId="2" borderId="2" xfId="0" quotePrefix="1" applyFont="1" applyFill="1" applyBorder="1" applyAlignment="1">
      <alignment horizontal="center" vertical="center"/>
    </xf>
    <xf numFmtId="0" fontId="5" fillId="2" borderId="65" xfId="0" quotePrefix="1" applyFont="1" applyFill="1" applyBorder="1" applyAlignment="1">
      <alignment horizontal="center" vertical="center"/>
    </xf>
    <xf numFmtId="0" fontId="5" fillId="2" borderId="67" xfId="0" quotePrefix="1" applyFont="1" applyFill="1" applyBorder="1" applyAlignment="1">
      <alignment horizontal="center" vertical="center"/>
    </xf>
    <xf numFmtId="0" fontId="5" fillId="2" borderId="48" xfId="0" quotePrefix="1" applyFont="1" applyFill="1" applyBorder="1" applyAlignment="1">
      <alignment horizontal="center" vertical="center"/>
    </xf>
    <xf numFmtId="0" fontId="5" fillId="2" borderId="49" xfId="0" quotePrefix="1" applyFont="1" applyFill="1" applyBorder="1" applyAlignment="1">
      <alignment horizontal="center" vertical="center"/>
    </xf>
    <xf numFmtId="43" fontId="5" fillId="2" borderId="15" xfId="1" applyFont="1" applyFill="1" applyBorder="1" applyAlignment="1">
      <alignment horizontal="center" vertical="center"/>
    </xf>
    <xf numFmtId="43" fontId="5" fillId="2" borderId="17" xfId="1" applyFont="1" applyFill="1" applyBorder="1" applyAlignment="1">
      <alignment horizontal="center" vertical="center"/>
    </xf>
    <xf numFmtId="0" fontId="21" fillId="2" borderId="18" xfId="0" applyFont="1" applyFill="1" applyBorder="1" applyAlignment="1">
      <alignment horizontal="center" vertical="center"/>
    </xf>
    <xf numFmtId="0" fontId="21" fillId="2" borderId="50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 wrapText="1"/>
    </xf>
    <xf numFmtId="0" fontId="5" fillId="2" borderId="50" xfId="0" applyFont="1" applyFill="1" applyBorder="1" applyAlignment="1">
      <alignment horizontal="center" vertical="center" wrapText="1"/>
    </xf>
    <xf numFmtId="0" fontId="5" fillId="2" borderId="66" xfId="0" applyFont="1" applyFill="1" applyBorder="1" applyAlignment="1">
      <alignment horizontal="center" vertical="center" wrapText="1"/>
    </xf>
    <xf numFmtId="0" fontId="5" fillId="2" borderId="68" xfId="0" applyFont="1" applyFill="1" applyBorder="1" applyAlignment="1">
      <alignment horizontal="center" vertical="center" wrapText="1"/>
    </xf>
    <xf numFmtId="0" fontId="22" fillId="0" borderId="69" xfId="0" quotePrefix="1" applyFont="1" applyBorder="1" applyAlignment="1">
      <alignment horizontal="left" vertical="center"/>
    </xf>
    <xf numFmtId="0" fontId="22" fillId="0" borderId="51" xfId="0" quotePrefix="1" applyFont="1" applyBorder="1" applyAlignment="1">
      <alignment horizontal="left" vertical="center"/>
    </xf>
    <xf numFmtId="0" fontId="22" fillId="0" borderId="70" xfId="0" quotePrefix="1" applyFont="1" applyBorder="1" applyAlignment="1">
      <alignment horizontal="left" vertical="center"/>
    </xf>
    <xf numFmtId="0" fontId="23" fillId="2" borderId="52" xfId="0" quotePrefix="1" applyFont="1" applyFill="1" applyBorder="1" applyAlignment="1">
      <alignment horizontal="left" vertical="center"/>
    </xf>
    <xf numFmtId="165" fontId="5" fillId="2" borderId="18" xfId="1" applyNumberFormat="1" applyFont="1" applyFill="1" applyBorder="1" applyAlignment="1">
      <alignment horizontal="center" vertical="center" wrapText="1"/>
    </xf>
    <xf numFmtId="165" fontId="5" fillId="2" borderId="50" xfId="1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53" xfId="0" applyFont="1" applyFill="1" applyBorder="1" applyAlignment="1">
      <alignment horizontal="left" vertical="center"/>
    </xf>
    <xf numFmtId="0" fontId="5" fillId="2" borderId="54" xfId="0" applyFont="1" applyFill="1" applyBorder="1" applyAlignment="1">
      <alignment horizontal="left" vertical="center"/>
    </xf>
    <xf numFmtId="0" fontId="5" fillId="2" borderId="55" xfId="0" applyFont="1" applyFill="1" applyBorder="1" applyAlignment="1">
      <alignment horizontal="left" vertical="center"/>
    </xf>
    <xf numFmtId="165" fontId="0" fillId="0" borderId="0" xfId="1" applyNumberFormat="1" applyFont="1" applyBorder="1" applyAlignment="1">
      <alignment horizontal="center"/>
    </xf>
    <xf numFmtId="0" fontId="25" fillId="2" borderId="75" xfId="0" quotePrefix="1" applyFont="1" applyFill="1" applyBorder="1" applyAlignment="1">
      <alignment horizontal="center" vertical="center"/>
    </xf>
    <xf numFmtId="0" fontId="25" fillId="2" borderId="76" xfId="0" quotePrefix="1" applyFont="1" applyFill="1" applyBorder="1" applyAlignment="1">
      <alignment horizontal="center" vertical="center"/>
    </xf>
    <xf numFmtId="0" fontId="25" fillId="2" borderId="78" xfId="0" quotePrefix="1" applyFont="1" applyFill="1" applyBorder="1" applyAlignment="1">
      <alignment horizontal="center" vertical="center"/>
    </xf>
    <xf numFmtId="0" fontId="25" fillId="2" borderId="56" xfId="0" quotePrefix="1" applyFont="1" applyFill="1" applyBorder="1" applyAlignment="1">
      <alignment horizontal="center" vertical="center"/>
    </xf>
    <xf numFmtId="43" fontId="25" fillId="2" borderId="76" xfId="1" applyFont="1" applyFill="1" applyBorder="1" applyAlignment="1">
      <alignment horizontal="center" vertical="center"/>
    </xf>
    <xf numFmtId="0" fontId="26" fillId="2" borderId="76" xfId="0" applyFont="1" applyFill="1" applyBorder="1" applyAlignment="1">
      <alignment horizontal="center" vertical="center"/>
    </xf>
    <xf numFmtId="0" fontId="26" fillId="2" borderId="56" xfId="0" applyFont="1" applyFill="1" applyBorder="1" applyAlignment="1">
      <alignment horizontal="center" vertical="center"/>
    </xf>
    <xf numFmtId="0" fontId="25" fillId="2" borderId="77" xfId="0" applyFont="1" applyFill="1" applyBorder="1" applyAlignment="1">
      <alignment horizontal="center" vertical="center" wrapText="1"/>
    </xf>
    <xf numFmtId="0" fontId="25" fillId="2" borderId="79" xfId="0" applyFont="1" applyFill="1" applyBorder="1" applyAlignment="1">
      <alignment horizontal="center" vertical="center" wrapText="1"/>
    </xf>
    <xf numFmtId="0" fontId="27" fillId="2" borderId="57" xfId="0" quotePrefix="1" applyFont="1" applyFill="1" applyBorder="1" applyAlignment="1">
      <alignment horizontal="left" vertical="center"/>
    </xf>
    <xf numFmtId="0" fontId="27" fillId="0" borderId="58" xfId="0" quotePrefix="1" applyFont="1" applyBorder="1" applyAlignment="1">
      <alignment horizontal="left" vertical="center"/>
    </xf>
    <xf numFmtId="0" fontId="27" fillId="2" borderId="58" xfId="0" quotePrefix="1" applyFont="1" applyFill="1" applyBorder="1" applyAlignment="1">
      <alignment horizontal="left" vertical="center"/>
    </xf>
    <xf numFmtId="0" fontId="23" fillId="2" borderId="41" xfId="0" quotePrefix="1" applyFont="1" applyFill="1" applyBorder="1" applyAlignment="1">
      <alignment horizontal="left" vertical="center"/>
    </xf>
    <xf numFmtId="0" fontId="27" fillId="0" borderId="61" xfId="0" applyFont="1" applyBorder="1" applyAlignment="1">
      <alignment horizontal="left" vertical="center"/>
    </xf>
    <xf numFmtId="0" fontId="27" fillId="2" borderId="84" xfId="0" quotePrefix="1" applyFont="1" applyFill="1" applyBorder="1" applyAlignment="1">
      <alignment horizontal="left" vertical="center"/>
    </xf>
    <xf numFmtId="0" fontId="2" fillId="2" borderId="59" xfId="0" applyFont="1" applyFill="1" applyBorder="1" applyAlignment="1">
      <alignment horizontal="center" vertical="center"/>
    </xf>
    <xf numFmtId="0" fontId="27" fillId="0" borderId="59" xfId="0" applyFont="1" applyBorder="1" applyAlignment="1">
      <alignment horizontal="left" vertical="center"/>
    </xf>
    <xf numFmtId="0" fontId="3" fillId="0" borderId="59" xfId="0" applyFont="1" applyBorder="1" applyAlignment="1">
      <alignment horizontal="center" vertical="center" wrapText="1"/>
    </xf>
    <xf numFmtId="0" fontId="27" fillId="2" borderId="59" xfId="0" applyFont="1" applyFill="1" applyBorder="1" applyAlignment="1">
      <alignment horizontal="left" vertical="center"/>
    </xf>
    <xf numFmtId="0" fontId="28" fillId="0" borderId="59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2" fillId="0" borderId="20" xfId="0" applyFont="1" applyBorder="1" applyAlignment="1">
      <alignment vertical="center"/>
    </xf>
    <xf numFmtId="0" fontId="2" fillId="0" borderId="110" xfId="0" applyFont="1" applyBorder="1" applyAlignment="1">
      <alignment vertical="center"/>
    </xf>
    <xf numFmtId="0" fontId="2" fillId="0" borderId="101" xfId="0" applyFont="1" applyBorder="1" applyAlignment="1">
      <alignment horizontal="center" vertical="center" wrapText="1"/>
    </xf>
    <xf numFmtId="0" fontId="2" fillId="0" borderId="114" xfId="0" applyFont="1" applyBorder="1" applyAlignment="1">
      <alignment horizontal="center" vertical="center" wrapText="1"/>
    </xf>
    <xf numFmtId="0" fontId="2" fillId="0" borderId="109" xfId="0" applyFont="1" applyBorder="1" applyAlignment="1">
      <alignment horizontal="center" vertical="center" wrapText="1"/>
    </xf>
    <xf numFmtId="0" fontId="0" fillId="0" borderId="108" xfId="0" applyBorder="1" applyAlignment="1">
      <alignment horizontal="left" vertical="center" wrapText="1"/>
    </xf>
    <xf numFmtId="0" fontId="0" fillId="0" borderId="115" xfId="0" applyBorder="1" applyAlignment="1">
      <alignment horizontal="left" vertical="center" wrapText="1"/>
    </xf>
    <xf numFmtId="0" fontId="0" fillId="0" borderId="116" xfId="0" applyBorder="1" applyAlignment="1">
      <alignment horizontal="left" vertical="center" wrapText="1"/>
    </xf>
    <xf numFmtId="0" fontId="0" fillId="0" borderId="104" xfId="0" applyBorder="1" applyAlignment="1">
      <alignment horizontal="left" vertical="center" wrapText="1"/>
    </xf>
    <xf numFmtId="0" fontId="0" fillId="0" borderId="111" xfId="0" applyBorder="1" applyAlignment="1">
      <alignment horizontal="left" vertical="center" wrapText="1"/>
    </xf>
    <xf numFmtId="0" fontId="2" fillId="0" borderId="102" xfId="0" applyFont="1" applyBorder="1" applyAlignment="1">
      <alignment vertical="center"/>
    </xf>
    <xf numFmtId="0" fontId="2" fillId="0" borderId="101" xfId="0" applyFont="1" applyBorder="1" applyAlignment="1">
      <alignment horizontal="center" vertical="center"/>
    </xf>
    <xf numFmtId="0" fontId="2" fillId="0" borderId="114" xfId="0" applyFont="1" applyBorder="1" applyAlignment="1">
      <alignment horizontal="center" vertical="center"/>
    </xf>
    <xf numFmtId="0" fontId="2" fillId="0" borderId="109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274" xfId="0" applyBorder="1" applyAlignment="1">
      <alignment horizontal="left" vertical="center"/>
    </xf>
    <xf numFmtId="0" fontId="0" fillId="0" borderId="275" xfId="0" applyBorder="1" applyAlignment="1">
      <alignment horizontal="left" vertical="center"/>
    </xf>
    <xf numFmtId="168" fontId="37" fillId="5" borderId="137" xfId="0" applyNumberFormat="1" applyFont="1" applyFill="1" applyBorder="1" applyAlignment="1">
      <alignment horizontal="center" vertical="center"/>
    </xf>
  </cellXfs>
  <cellStyles count="5">
    <cellStyle name="Comma" xfId="1" builtinId="3"/>
    <cellStyle name="Hyperlink" xfId="4" builtinId="8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GIÁ THÀNH LÒ NUNG TỪ 05-11/10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'BÁO CÁO GIÁ THÀNH'!$E$27</c:f>
              <c:strCache>
                <c:ptCount val="1"/>
                <c:pt idx="0">
                  <c:v>CHI PHÍ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'BÁO CÁO GIÁ THÀNH'!$B$28:$C$33</c:f>
              <c:multiLvlStrCache>
                <c:ptCount val="6"/>
                <c:lvl>
                  <c:pt idx="1">
                    <c:v>Chi phí điện</c:v>
                  </c:pt>
                  <c:pt idx="2">
                    <c:v>Chi phí nhân công</c:v>
                  </c:pt>
                  <c:pt idx="3">
                    <c:v>Chi phí xe cơ giới</c:v>
                  </c:pt>
                  <c:pt idx="4">
                    <c:v>Chi phí dầu DO</c:v>
                  </c:pt>
                  <c:pt idx="5">
                    <c:v>Chi phí khấu hao</c:v>
                  </c:pt>
                </c:lvl>
                <c:lvl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'BÁO CÁO GIÁ THÀNH'!$E$28:$E$33</c:f>
              <c:numCache>
                <c:formatCode>_(* #,##0_);_(* \(#,##0\);_(* "-"??_);_(@_)</c:formatCode>
                <c:ptCount val="6"/>
                <c:pt idx="0" formatCode="_(* #,##0.00_);_(* \(#,##0.00\);_(* &quot;-&quot;??_);_(@_)">
                  <c:v>0</c:v>
                </c:pt>
                <c:pt idx="1">
                  <c:v>0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35-4294-B5A1-3F3688A057C3}"/>
            </c:ext>
          </c:extLst>
        </c:ser>
        <c:ser>
          <c:idx val="2"/>
          <c:order val="2"/>
          <c:tx>
            <c:strRef>
              <c:f>'BÁO CÁO GIÁ THÀNH'!$F$27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'BÁO CÁO GIÁ THÀNH'!$B$28:$C$33</c:f>
              <c:multiLvlStrCache>
                <c:ptCount val="6"/>
                <c:lvl>
                  <c:pt idx="1">
                    <c:v>Chi phí điện</c:v>
                  </c:pt>
                  <c:pt idx="2">
                    <c:v>Chi phí nhân công</c:v>
                  </c:pt>
                  <c:pt idx="3">
                    <c:v>Chi phí xe cơ giới</c:v>
                  </c:pt>
                  <c:pt idx="4">
                    <c:v>Chi phí dầu DO</c:v>
                  </c:pt>
                  <c:pt idx="5">
                    <c:v>Chi phí khấu hao</c:v>
                  </c:pt>
                </c:lvl>
                <c:lvl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'BÁO CÁO GIÁ THÀNH'!$F$28:$F$33</c:f>
              <c:numCache>
                <c:formatCode>_(* #,##0_);_(* \(#,##0\);_(* "-"??_);_(@_)</c:formatCode>
                <c:ptCount val="6"/>
                <c:pt idx="0" formatCode="_(* #,##0.00_);_(* \(#,##0.0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35-4294-B5A1-3F3688A05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664968"/>
        <c:axId val="466665752"/>
      </c:barChart>
      <c:lineChart>
        <c:grouping val="standard"/>
        <c:varyColors val="0"/>
        <c:ser>
          <c:idx val="0"/>
          <c:order val="0"/>
          <c:tx>
            <c:strRef>
              <c:f>'BÁO CÁO GIÁ THÀNH'!$D$27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'BÁO CÁO GIÁ THÀNH'!$B$28:$C$33</c:f>
              <c:multiLvlStrCache>
                <c:ptCount val="6"/>
                <c:lvl>
                  <c:pt idx="1">
                    <c:v>Chi phí điện</c:v>
                  </c:pt>
                  <c:pt idx="2">
                    <c:v>Chi phí nhân công</c:v>
                  </c:pt>
                  <c:pt idx="3">
                    <c:v>Chi phí xe cơ giới</c:v>
                  </c:pt>
                  <c:pt idx="4">
                    <c:v>Chi phí dầu DO</c:v>
                  </c:pt>
                  <c:pt idx="5">
                    <c:v>Chi phí khấu hao</c:v>
                  </c:pt>
                </c:lvl>
                <c:lvl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'BÁO CÁO GIÁ THÀNH'!$D$28:$D$33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35-4294-B5A1-3F3688A057C3}"/>
            </c:ext>
          </c:extLst>
        </c:ser>
        <c:ser>
          <c:idx val="3"/>
          <c:order val="3"/>
          <c:tx>
            <c:strRef>
              <c:f>'BÁO CÁO GIÁ THÀNH'!$G$27</c:f>
              <c:strCache>
                <c:ptCount val="1"/>
                <c:pt idx="0">
                  <c:v>ĐVT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'BÁO CÁO GIÁ THÀNH'!$B$28:$C$33</c:f>
              <c:multiLvlStrCache>
                <c:ptCount val="6"/>
                <c:lvl>
                  <c:pt idx="1">
                    <c:v>Chi phí điện</c:v>
                  </c:pt>
                  <c:pt idx="2">
                    <c:v>Chi phí nhân công</c:v>
                  </c:pt>
                  <c:pt idx="3">
                    <c:v>Chi phí xe cơ giới</c:v>
                  </c:pt>
                  <c:pt idx="4">
                    <c:v>Chi phí dầu DO</c:v>
                  </c:pt>
                  <c:pt idx="5">
                    <c:v>Chi phí khấu hao</c:v>
                  </c:pt>
                </c:lvl>
                <c:lvl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'BÁO CÁO GIÁ THÀNH'!$G$28:$G$33</c:f>
              <c:numCache>
                <c:formatCode>_(* #,##0_);_(* \(#,##0\);_(* "-"??_);_(@_)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35-4294-B5A1-3F3688A05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664968"/>
        <c:axId val="466665752"/>
      </c:lineChart>
      <c:lineChart>
        <c:grouping val="standard"/>
        <c:varyColors val="0"/>
        <c:ser>
          <c:idx val="4"/>
          <c:order val="4"/>
          <c:tx>
            <c:strRef>
              <c:f>'BÁO CÁO GIÁ THÀNH'!$H$27</c:f>
              <c:strCache>
                <c:ptCount val="1"/>
                <c:pt idx="0">
                  <c:v>GIÁ THÀNH
(VNĐ/KG)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96-4492-97DA-9D713C40ED79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1587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96-4492-97DA-9D713C40ED79}"/>
              </c:ext>
            </c:extLst>
          </c:dPt>
          <c:cat>
            <c:multiLvlStrRef>
              <c:f>'BÁO CÁO GIÁ THÀNH'!$B$28:$C$33</c:f>
              <c:multiLvlStrCache>
                <c:ptCount val="6"/>
                <c:lvl>
                  <c:pt idx="1">
                    <c:v>Chi phí điện</c:v>
                  </c:pt>
                  <c:pt idx="2">
                    <c:v>Chi phí nhân công</c:v>
                  </c:pt>
                  <c:pt idx="3">
                    <c:v>Chi phí xe cơ giới</c:v>
                  </c:pt>
                  <c:pt idx="4">
                    <c:v>Chi phí dầu DO</c:v>
                  </c:pt>
                  <c:pt idx="5">
                    <c:v>Chi phí khấu hao</c:v>
                  </c:pt>
                </c:lvl>
                <c:lvl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'BÁO CÁO GIÁ THÀNH'!$H$28:$H$33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35-4294-B5A1-3F3688A05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19704"/>
        <c:axId val="466667320"/>
      </c:lineChart>
      <c:catAx>
        <c:axId val="466664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6665752"/>
        <c:crosses val="autoZero"/>
        <c:auto val="1"/>
        <c:lblAlgn val="ctr"/>
        <c:lblOffset val="100"/>
        <c:noMultiLvlLbl val="0"/>
      </c:catAx>
      <c:valAx>
        <c:axId val="46666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6664968"/>
        <c:crosses val="autoZero"/>
        <c:crossBetween val="between"/>
      </c:valAx>
      <c:valAx>
        <c:axId val="466667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6219704"/>
        <c:crosses val="max"/>
        <c:crossBetween val="between"/>
      </c:valAx>
      <c:catAx>
        <c:axId val="466219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6667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384924</xdr:colOff>
      <xdr:row>13</xdr:row>
      <xdr:rowOff>108697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calendar" hidden="1" title="Mini Calendar and Date Picker"/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calendar" title="Mini Calendar and Date Picker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0</xdr:rowOff>
    </xdr:from>
    <xdr:to>
      <xdr:col>2</xdr:col>
      <xdr:colOff>161926</xdr:colOff>
      <xdr:row>1</xdr:row>
      <xdr:rowOff>485775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7D68C55-7360-4BCC-915D-40E09C391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0"/>
          <a:ext cx="1133476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112987</xdr:colOff>
      <xdr:row>0</xdr:row>
      <xdr:rowOff>108857</xdr:rowOff>
    </xdr:from>
    <xdr:to>
      <xdr:col>1</xdr:col>
      <xdr:colOff>1949748</xdr:colOff>
      <xdr:row>0</xdr:row>
      <xdr:rowOff>775607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637" y="108857"/>
          <a:ext cx="1836761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83486</xdr:colOff>
      <xdr:row>1</xdr:row>
      <xdr:rowOff>50989</xdr:rowOff>
    </xdr:from>
    <xdr:to>
      <xdr:col>2</xdr:col>
      <xdr:colOff>560296</xdr:colOff>
      <xdr:row>2</xdr:row>
      <xdr:rowOff>196663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986" y="251014"/>
          <a:ext cx="848285" cy="3456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156883</xdr:colOff>
      <xdr:row>23</xdr:row>
      <xdr:rowOff>89647</xdr:rowOff>
    </xdr:from>
    <xdr:to>
      <xdr:col>13</xdr:col>
      <xdr:colOff>33618</xdr:colOff>
      <xdr:row>39</xdr:row>
      <xdr:rowOff>134470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vlonung\Desktop\DT%20-%20KHVL\3.%20LO%20NUNG\KIEM%20SOAT%20CHI%20PHI\1.%20KI&#7874;M%20SO&#193;T%20CHI%20PH&#205;%20L&#210;%20NUNG%20T5.2026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T-BAN%20SAN%20XUAT\DT-NHAN%20VIEN\DT-DANG%20LAM\DT-VAT%20LIEU\DT-%20TAI%20NT\DATA-DIEUTHINH-2025\1.%20QU&#7842;N%20L&#205;%20V&#7852;T%20T&#431;\15.%20NGHI&#202;N%20C&#7912;U\L&#210;%20NUNG\GI&#193;%20TH&#192;NH%20L&#210;%20NUNG\KI&#7874;M%20SO&#193;T%20CHI%20PH&#205;%20L&#210;%20NUNG%20T9.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NH MUC THONG SO VH"/>
      <sheetName val="KH - THEO DÕI LÒ"/>
      <sheetName val="BCAO TUAN"/>
      <sheetName val="TỔNG KẾT KẾ HOẠCH THÁNG"/>
      <sheetName val="DINH MUC CHI PHI VH"/>
      <sheetName val="ĐỊNH MỨC VT LÒ"/>
      <sheetName val="THEO DÕI KHẤU HAO VT"/>
      <sheetName val="BÁO CÁO GIÁ THÀNH"/>
      <sheetName val="QUY TRINH VAN HANH LO"/>
    </sheetNames>
    <sheetDataSet>
      <sheetData sheetId="0"/>
      <sheetData sheetId="1"/>
      <sheetData sheetId="2"/>
      <sheetData sheetId="3"/>
      <sheetData sheetId="4"/>
      <sheetData sheetId="5">
        <row r="6">
          <cell r="I6">
            <v>3.4722222222222224E-6</v>
          </cell>
        </row>
        <row r="7">
          <cell r="I7">
            <v>2.0833333333333333E-5</v>
          </cell>
        </row>
        <row r="8">
          <cell r="I8">
            <v>2.0833333333333334E-6</v>
          </cell>
        </row>
        <row r="9">
          <cell r="I9">
            <v>1.0000000000000001E-5</v>
          </cell>
        </row>
        <row r="10">
          <cell r="I10">
            <v>1.4930555555555555E-5</v>
          </cell>
        </row>
        <row r="11">
          <cell r="I11">
            <v>1.0416666666666666E-5</v>
          </cell>
        </row>
        <row r="12">
          <cell r="I12">
            <v>6.770833333333333E-5</v>
          </cell>
        </row>
        <row r="13">
          <cell r="I13">
            <v>1.875E-4</v>
          </cell>
        </row>
        <row r="14">
          <cell r="I14">
            <v>6.9444444444444444E-5</v>
          </cell>
        </row>
        <row r="15">
          <cell r="I15">
            <v>3.4722222222222222E-5</v>
          </cell>
        </row>
      </sheetData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Ế HOẠCH VỀ HÀNG"/>
      <sheetName val="XỬ LÍ-GC HÀNG"/>
      <sheetName val="KẾ HOẠCH VẬN HÀNH LÒ"/>
      <sheetName val="ĐỊNH MỨC SẢN XUẤT"/>
      <sheetName val="ĐỊNH MỨC VẬT TƯ LÒ NUNG"/>
      <sheetName val="KIỂM SOÁT VẬT TƯ LÒ NUNG"/>
      <sheetName val="THỐNG KÊ SỬ DỤNG"/>
      <sheetName val="BC-THÍ NGHIỆM"/>
      <sheetName val="BC GT-THÁNG"/>
      <sheetName val="BC GT-NGÀY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AM5">
            <v>3.4722222222222224E-6</v>
          </cell>
        </row>
        <row r="6">
          <cell r="AM6">
            <v>2.0833333333333333E-5</v>
          </cell>
        </row>
        <row r="7">
          <cell r="AM7">
            <v>2.0833333333333334E-6</v>
          </cell>
        </row>
        <row r="8">
          <cell r="AM8">
            <v>1.0000000000000001E-5</v>
          </cell>
        </row>
        <row r="9">
          <cell r="AM9">
            <v>1.4930555555555555E-5</v>
          </cell>
        </row>
        <row r="10">
          <cell r="AM10">
            <v>1.0416666666666666E-5</v>
          </cell>
        </row>
        <row r="11">
          <cell r="AM11">
            <v>6.770833333333333E-5</v>
          </cell>
        </row>
        <row r="12">
          <cell r="AM12">
            <v>1.875E-4</v>
          </cell>
        </row>
        <row r="13">
          <cell r="AM13">
            <v>6.9444444444444444E-5</v>
          </cell>
        </row>
      </sheetData>
      <sheetData sheetId="7"/>
      <sheetData sheetId="8">
        <row r="27">
          <cell r="G27" t="str">
            <v>ĐVT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D265B71B-D832-4BCA-988F-45191005660E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onfirm" value="true"/>
    <we:property name="opt_size" value="0"/>
    <we:property name="opt_theme" value="2"/>
    <we:property name="opt_wn" value="false"/>
    <we:property name="opt_cal_sys" value="21"/>
    <we:property name="opt_month" value="&quot;2026-07-01&quot;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hyperlink" Target="https://vn.shp.ee/nB7GvjSH" TargetMode="External"/><Relationship Id="rId7" Type="http://schemas.openxmlformats.org/officeDocument/2006/relationships/hyperlink" Target="https://vn.shp.ee/bqD7XgVc" TargetMode="External"/><Relationship Id="rId2" Type="http://schemas.openxmlformats.org/officeDocument/2006/relationships/hyperlink" Target="https://vn.shp.ee/UizkuGCw" TargetMode="External"/><Relationship Id="rId1" Type="http://schemas.openxmlformats.org/officeDocument/2006/relationships/hyperlink" Target="https://vn.shp.ee/rT2aDtNY" TargetMode="External"/><Relationship Id="rId6" Type="http://schemas.openxmlformats.org/officeDocument/2006/relationships/hyperlink" Target="https://vn.shp.ee/Mgx1cPd2" TargetMode="External"/><Relationship Id="rId5" Type="http://schemas.openxmlformats.org/officeDocument/2006/relationships/hyperlink" Target="https://vn.shp.ee/NDP65FhL" TargetMode="External"/><Relationship Id="rId4" Type="http://schemas.openxmlformats.org/officeDocument/2006/relationships/hyperlink" Target="https://vn.shp.ee/Xjqd13k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26"/>
  <sheetViews>
    <sheetView topLeftCell="A13" zoomScale="85" zoomScaleNormal="85" workbookViewId="0">
      <selection activeCell="E26" sqref="E26"/>
    </sheetView>
  </sheetViews>
  <sheetFormatPr defaultRowHeight="15"/>
  <cols>
    <col min="1" max="1" width="2.5703125" style="182" customWidth="1"/>
    <col min="2" max="2" width="14.85546875" style="182" customWidth="1"/>
    <col min="3" max="3" width="6.140625" style="182" customWidth="1"/>
    <col min="4" max="4" width="19.5703125" style="182" customWidth="1"/>
    <col min="5" max="5" width="13.7109375" style="183" customWidth="1"/>
    <col min="6" max="7" width="13.85546875" style="182" customWidth="1"/>
    <col min="8" max="11" width="8.140625" style="182" customWidth="1"/>
    <col min="12" max="13" width="9.7109375" style="182" customWidth="1"/>
    <col min="14" max="17" width="8" style="182" customWidth="1"/>
    <col min="18" max="19" width="7.140625" style="182" customWidth="1"/>
    <col min="20" max="20" width="8.42578125" style="182" customWidth="1"/>
    <col min="21" max="24" width="12.42578125" style="182" customWidth="1"/>
    <col min="25" max="27" width="9.85546875" style="182" customWidth="1"/>
    <col min="28" max="29" width="10.85546875" style="182" customWidth="1"/>
    <col min="30" max="30" width="11.5703125" style="182" customWidth="1"/>
    <col min="31" max="16384" width="9.140625" style="182"/>
  </cols>
  <sheetData>
    <row r="1" spans="1:30" ht="51.75" customHeight="1" thickBot="1">
      <c r="A1" s="219"/>
      <c r="B1" s="618" t="s">
        <v>265</v>
      </c>
      <c r="C1" s="619"/>
      <c r="D1" s="619"/>
      <c r="E1" s="619"/>
      <c r="F1" s="619"/>
      <c r="G1" s="619"/>
      <c r="H1" s="619"/>
      <c r="I1" s="619"/>
      <c r="J1" s="619"/>
      <c r="K1" s="619"/>
      <c r="L1" s="619"/>
      <c r="M1" s="619"/>
      <c r="N1" s="619"/>
      <c r="O1" s="619"/>
      <c r="P1" s="619"/>
      <c r="Q1" s="619"/>
      <c r="R1" s="619"/>
      <c r="S1" s="619"/>
      <c r="T1" s="619"/>
      <c r="U1" s="619"/>
      <c r="V1" s="619"/>
      <c r="W1" s="619"/>
      <c r="X1" s="619"/>
      <c r="Y1" s="619"/>
      <c r="Z1" s="619"/>
      <c r="AA1" s="619"/>
      <c r="AB1" s="619"/>
      <c r="AC1" s="619"/>
      <c r="AD1" s="620"/>
    </row>
    <row r="2" spans="1:30" s="184" customFormat="1" ht="40.5" customHeight="1">
      <c r="A2" s="220"/>
      <c r="B2" s="595" t="s">
        <v>266</v>
      </c>
      <c r="C2" s="594" t="s">
        <v>34</v>
      </c>
      <c r="D2" s="598" t="s">
        <v>267</v>
      </c>
      <c r="E2" s="598" t="s">
        <v>268</v>
      </c>
      <c r="F2" s="598" t="s">
        <v>269</v>
      </c>
      <c r="G2" s="591" t="s">
        <v>270</v>
      </c>
      <c r="H2" s="598" t="s">
        <v>271</v>
      </c>
      <c r="I2" s="598"/>
      <c r="J2" s="598"/>
      <c r="K2" s="598"/>
      <c r="L2" s="598"/>
      <c r="M2" s="598"/>
      <c r="N2" s="598" t="s">
        <v>272</v>
      </c>
      <c r="O2" s="594"/>
      <c r="P2" s="594"/>
      <c r="Q2" s="594"/>
      <c r="R2" s="594"/>
      <c r="S2" s="594"/>
      <c r="T2" s="594"/>
      <c r="U2" s="598" t="s">
        <v>273</v>
      </c>
      <c r="V2" s="594"/>
      <c r="W2" s="594"/>
      <c r="X2" s="606"/>
      <c r="Y2" s="593" t="s">
        <v>274</v>
      </c>
      <c r="Z2" s="594"/>
      <c r="AA2" s="594"/>
      <c r="AB2" s="598" t="s">
        <v>275</v>
      </c>
      <c r="AC2" s="594"/>
      <c r="AD2" s="606"/>
    </row>
    <row r="3" spans="1:30" s="184" customFormat="1" ht="39" customHeight="1">
      <c r="A3" s="220"/>
      <c r="B3" s="596"/>
      <c r="C3" s="601"/>
      <c r="D3" s="601"/>
      <c r="E3" s="601"/>
      <c r="F3" s="599"/>
      <c r="G3" s="592"/>
      <c r="H3" s="599" t="s">
        <v>276</v>
      </c>
      <c r="I3" s="599"/>
      <c r="J3" s="599" t="s">
        <v>277</v>
      </c>
      <c r="K3" s="599"/>
      <c r="L3" s="599" t="s">
        <v>278</v>
      </c>
      <c r="M3" s="599"/>
      <c r="N3" s="599" t="s">
        <v>279</v>
      </c>
      <c r="O3" s="601"/>
      <c r="P3" s="599" t="s">
        <v>280</v>
      </c>
      <c r="Q3" s="601"/>
      <c r="R3" s="599" t="s">
        <v>281</v>
      </c>
      <c r="S3" s="601"/>
      <c r="T3" s="599" t="s">
        <v>282</v>
      </c>
      <c r="U3" s="599" t="s">
        <v>283</v>
      </c>
      <c r="V3" s="599" t="s">
        <v>284</v>
      </c>
      <c r="W3" s="599" t="s">
        <v>285</v>
      </c>
      <c r="X3" s="621" t="s">
        <v>286</v>
      </c>
      <c r="Y3" s="610" t="s">
        <v>287</v>
      </c>
      <c r="Z3" s="599" t="s">
        <v>288</v>
      </c>
      <c r="AA3" s="599" t="s">
        <v>282</v>
      </c>
      <c r="AB3" s="610" t="s">
        <v>287</v>
      </c>
      <c r="AC3" s="599" t="s">
        <v>288</v>
      </c>
      <c r="AD3" s="621" t="s">
        <v>289</v>
      </c>
    </row>
    <row r="4" spans="1:30" s="184" customFormat="1" ht="39" customHeight="1" thickBot="1">
      <c r="A4" s="220"/>
      <c r="B4" s="597"/>
      <c r="C4" s="602"/>
      <c r="D4" s="602"/>
      <c r="E4" s="602"/>
      <c r="F4" s="600"/>
      <c r="G4" s="592"/>
      <c r="H4" s="187" t="s">
        <v>290</v>
      </c>
      <c r="I4" s="187" t="s">
        <v>291</v>
      </c>
      <c r="J4" s="187" t="s">
        <v>290</v>
      </c>
      <c r="K4" s="187" t="s">
        <v>291</v>
      </c>
      <c r="L4" s="187" t="s">
        <v>290</v>
      </c>
      <c r="M4" s="187" t="s">
        <v>291</v>
      </c>
      <c r="N4" s="602"/>
      <c r="O4" s="602"/>
      <c r="P4" s="602"/>
      <c r="Q4" s="602"/>
      <c r="R4" s="602"/>
      <c r="S4" s="602"/>
      <c r="T4" s="602"/>
      <c r="U4" s="602"/>
      <c r="V4" s="602"/>
      <c r="W4" s="602"/>
      <c r="X4" s="622"/>
      <c r="Y4" s="611"/>
      <c r="Z4" s="602"/>
      <c r="AA4" s="602"/>
      <c r="AB4" s="611"/>
      <c r="AC4" s="602"/>
      <c r="AD4" s="622"/>
    </row>
    <row r="5" spans="1:30" ht="35.25" customHeight="1">
      <c r="A5" s="221"/>
      <c r="B5" s="588" t="s">
        <v>292</v>
      </c>
      <c r="C5" s="613">
        <v>1</v>
      </c>
      <c r="D5" s="612" t="s">
        <v>293</v>
      </c>
      <c r="E5" s="585">
        <v>304</v>
      </c>
      <c r="F5" s="585">
        <v>65</v>
      </c>
      <c r="G5" s="605" t="s">
        <v>294</v>
      </c>
      <c r="H5" s="268" t="s">
        <v>132</v>
      </c>
      <c r="I5" s="268"/>
      <c r="J5" s="268" t="s">
        <v>132</v>
      </c>
      <c r="K5" s="268"/>
      <c r="L5" s="268" t="s">
        <v>132</v>
      </c>
      <c r="M5" s="268"/>
      <c r="N5" s="268" t="s">
        <v>295</v>
      </c>
      <c r="O5" s="269" t="s">
        <v>296</v>
      </c>
      <c r="P5" s="268" t="s">
        <v>295</v>
      </c>
      <c r="Q5" s="269" t="s">
        <v>297</v>
      </c>
      <c r="R5" s="270">
        <v>0</v>
      </c>
      <c r="S5" s="270">
        <v>0</v>
      </c>
      <c r="T5" s="269" t="s">
        <v>298</v>
      </c>
      <c r="U5" s="585" t="s">
        <v>210</v>
      </c>
      <c r="V5" s="585" t="s">
        <v>214</v>
      </c>
      <c r="W5" s="585" t="s">
        <v>215</v>
      </c>
      <c r="X5" s="585" t="s">
        <v>212</v>
      </c>
      <c r="Y5" s="605" t="s">
        <v>299</v>
      </c>
      <c r="Z5" s="605" t="s">
        <v>299</v>
      </c>
      <c r="AA5" s="605" t="s">
        <v>300</v>
      </c>
      <c r="AB5" s="605" t="s">
        <v>301</v>
      </c>
      <c r="AC5" s="605" t="s">
        <v>302</v>
      </c>
      <c r="AD5" s="608" t="s">
        <v>302</v>
      </c>
    </row>
    <row r="6" spans="1:30" ht="35.25" customHeight="1">
      <c r="A6" s="221"/>
      <c r="B6" s="589"/>
      <c r="C6" s="603"/>
      <c r="D6" s="603"/>
      <c r="E6" s="583"/>
      <c r="F6" s="583"/>
      <c r="G6" s="583"/>
      <c r="H6" s="265"/>
      <c r="I6" s="265" t="s">
        <v>132</v>
      </c>
      <c r="J6" s="265" t="s">
        <v>132</v>
      </c>
      <c r="K6" s="265"/>
      <c r="L6" s="265"/>
      <c r="M6" s="265" t="s">
        <v>132</v>
      </c>
      <c r="N6" s="265" t="s">
        <v>303</v>
      </c>
      <c r="O6" s="271" t="s">
        <v>296</v>
      </c>
      <c r="P6" s="265" t="s">
        <v>303</v>
      </c>
      <c r="Q6" s="271" t="s">
        <v>297</v>
      </c>
      <c r="R6" s="272">
        <v>0</v>
      </c>
      <c r="S6" s="272">
        <v>0</v>
      </c>
      <c r="T6" s="271" t="s">
        <v>298</v>
      </c>
      <c r="U6" s="583"/>
      <c r="V6" s="583"/>
      <c r="W6" s="583"/>
      <c r="X6" s="583"/>
      <c r="Y6" s="583"/>
      <c r="Z6" s="583"/>
      <c r="AA6" s="583"/>
      <c r="AB6" s="587"/>
      <c r="AC6" s="587"/>
      <c r="AD6" s="586"/>
    </row>
    <row r="7" spans="1:30" ht="35.25" customHeight="1">
      <c r="A7" s="221"/>
      <c r="B7" s="589"/>
      <c r="C7" s="603"/>
      <c r="D7" s="603"/>
      <c r="E7" s="583"/>
      <c r="F7" s="583"/>
      <c r="G7" s="587" t="s">
        <v>304</v>
      </c>
      <c r="H7" s="265" t="s">
        <v>132</v>
      </c>
      <c r="I7" s="265"/>
      <c r="J7" s="265" t="s">
        <v>132</v>
      </c>
      <c r="K7" s="265"/>
      <c r="L7" s="265" t="s">
        <v>132</v>
      </c>
      <c r="M7" s="265"/>
      <c r="N7" s="265" t="s">
        <v>295</v>
      </c>
      <c r="O7" s="271" t="s">
        <v>296</v>
      </c>
      <c r="P7" s="265" t="s">
        <v>295</v>
      </c>
      <c r="Q7" s="271" t="s">
        <v>305</v>
      </c>
      <c r="R7" s="272">
        <v>0</v>
      </c>
      <c r="S7" s="272">
        <v>0</v>
      </c>
      <c r="T7" s="271" t="s">
        <v>306</v>
      </c>
      <c r="U7" s="583"/>
      <c r="V7" s="583"/>
      <c r="W7" s="583"/>
      <c r="X7" s="583"/>
      <c r="Y7" s="587" t="s">
        <v>299</v>
      </c>
      <c r="Z7" s="587" t="s">
        <v>299</v>
      </c>
      <c r="AA7" s="587" t="s">
        <v>300</v>
      </c>
      <c r="AB7" s="587" t="s">
        <v>301</v>
      </c>
      <c r="AC7" s="587" t="s">
        <v>302</v>
      </c>
      <c r="AD7" s="586" t="s">
        <v>302</v>
      </c>
    </row>
    <row r="8" spans="1:30" ht="35.25" customHeight="1">
      <c r="A8" s="221"/>
      <c r="B8" s="589"/>
      <c r="C8" s="603"/>
      <c r="D8" s="603"/>
      <c r="E8" s="583"/>
      <c r="F8" s="583"/>
      <c r="G8" s="583"/>
      <c r="H8" s="265"/>
      <c r="I8" s="265" t="s">
        <v>132</v>
      </c>
      <c r="J8" s="265" t="s">
        <v>132</v>
      </c>
      <c r="K8" s="265"/>
      <c r="L8" s="265"/>
      <c r="M8" s="265" t="s">
        <v>132</v>
      </c>
      <c r="N8" s="265" t="s">
        <v>303</v>
      </c>
      <c r="O8" s="271" t="s">
        <v>296</v>
      </c>
      <c r="P8" s="265" t="s">
        <v>303</v>
      </c>
      <c r="Q8" s="271" t="s">
        <v>305</v>
      </c>
      <c r="R8" s="272">
        <v>0</v>
      </c>
      <c r="S8" s="272">
        <v>0</v>
      </c>
      <c r="T8" s="271" t="s">
        <v>306</v>
      </c>
      <c r="U8" s="583"/>
      <c r="V8" s="583"/>
      <c r="W8" s="583"/>
      <c r="X8" s="583"/>
      <c r="Y8" s="583"/>
      <c r="Z8" s="583"/>
      <c r="AA8" s="587"/>
      <c r="AB8" s="587"/>
      <c r="AC8" s="587"/>
      <c r="AD8" s="586"/>
    </row>
    <row r="9" spans="1:30" ht="35.25" customHeight="1">
      <c r="A9" s="221"/>
      <c r="B9" s="589"/>
      <c r="C9" s="603"/>
      <c r="D9" s="603"/>
      <c r="E9" s="583">
        <v>201</v>
      </c>
      <c r="F9" s="583">
        <v>65</v>
      </c>
      <c r="G9" s="587" t="s">
        <v>294</v>
      </c>
      <c r="H9" s="265" t="s">
        <v>132</v>
      </c>
      <c r="I9" s="265"/>
      <c r="J9" s="265" t="s">
        <v>132</v>
      </c>
      <c r="K9" s="265"/>
      <c r="L9" s="265" t="s">
        <v>132</v>
      </c>
      <c r="M9" s="265"/>
      <c r="N9" s="265" t="s">
        <v>307</v>
      </c>
      <c r="O9" s="271" t="s">
        <v>296</v>
      </c>
      <c r="P9" s="265" t="s">
        <v>307</v>
      </c>
      <c r="Q9" s="271" t="s">
        <v>305</v>
      </c>
      <c r="R9" s="272">
        <v>0</v>
      </c>
      <c r="S9" s="272">
        <v>0</v>
      </c>
      <c r="T9" s="271" t="s">
        <v>306</v>
      </c>
      <c r="U9" s="583"/>
      <c r="V9" s="583"/>
      <c r="W9" s="583"/>
      <c r="X9" s="583"/>
      <c r="Y9" s="587" t="s">
        <v>299</v>
      </c>
      <c r="Z9" s="587" t="s">
        <v>299</v>
      </c>
      <c r="AA9" s="587" t="s">
        <v>300</v>
      </c>
      <c r="AB9" s="587" t="s">
        <v>301</v>
      </c>
      <c r="AC9" s="587" t="s">
        <v>302</v>
      </c>
      <c r="AD9" s="586" t="s">
        <v>302</v>
      </c>
    </row>
    <row r="10" spans="1:30" ht="35.25" customHeight="1">
      <c r="A10" s="221"/>
      <c r="B10" s="589"/>
      <c r="C10" s="603"/>
      <c r="D10" s="603"/>
      <c r="E10" s="583"/>
      <c r="F10" s="583"/>
      <c r="G10" s="583"/>
      <c r="H10" s="265"/>
      <c r="I10" s="265" t="s">
        <v>132</v>
      </c>
      <c r="J10" s="265" t="s">
        <v>132</v>
      </c>
      <c r="K10" s="265"/>
      <c r="L10" s="265"/>
      <c r="M10" s="265" t="s">
        <v>132</v>
      </c>
      <c r="N10" s="265" t="s">
        <v>308</v>
      </c>
      <c r="O10" s="271" t="s">
        <v>297</v>
      </c>
      <c r="P10" s="265" t="s">
        <v>308</v>
      </c>
      <c r="Q10" s="271" t="s">
        <v>297</v>
      </c>
      <c r="R10" s="272">
        <v>0</v>
      </c>
      <c r="S10" s="272">
        <v>0</v>
      </c>
      <c r="T10" s="271" t="s">
        <v>306</v>
      </c>
      <c r="U10" s="583"/>
      <c r="V10" s="583"/>
      <c r="W10" s="583"/>
      <c r="X10" s="583"/>
      <c r="Y10" s="583"/>
      <c r="Z10" s="583"/>
      <c r="AA10" s="587"/>
      <c r="AB10" s="587"/>
      <c r="AC10" s="587"/>
      <c r="AD10" s="586"/>
    </row>
    <row r="11" spans="1:30" ht="35.25" customHeight="1">
      <c r="A11" s="221"/>
      <c r="B11" s="589"/>
      <c r="C11" s="603">
        <v>2</v>
      </c>
      <c r="D11" s="604" t="s">
        <v>309</v>
      </c>
      <c r="E11" s="583">
        <v>304</v>
      </c>
      <c r="F11" s="583">
        <v>55</v>
      </c>
      <c r="G11" s="587" t="s">
        <v>294</v>
      </c>
      <c r="H11" s="265" t="s">
        <v>132</v>
      </c>
      <c r="I11" s="265"/>
      <c r="J11" s="265" t="s">
        <v>132</v>
      </c>
      <c r="K11" s="265"/>
      <c r="L11" s="265" t="s">
        <v>132</v>
      </c>
      <c r="M11" s="265"/>
      <c r="N11" s="265" t="s">
        <v>295</v>
      </c>
      <c r="O11" s="271" t="s">
        <v>296</v>
      </c>
      <c r="P11" s="265" t="s">
        <v>295</v>
      </c>
      <c r="Q11" s="271" t="s">
        <v>305</v>
      </c>
      <c r="R11" s="272">
        <v>0</v>
      </c>
      <c r="S11" s="272">
        <v>0</v>
      </c>
      <c r="T11" s="271" t="s">
        <v>306</v>
      </c>
      <c r="U11" s="583" t="s">
        <v>210</v>
      </c>
      <c r="V11" s="583" t="s">
        <v>214</v>
      </c>
      <c r="W11" s="583" t="s">
        <v>215</v>
      </c>
      <c r="X11" s="583" t="s">
        <v>212</v>
      </c>
      <c r="Y11" s="587" t="s">
        <v>310</v>
      </c>
      <c r="Z11" s="587" t="s">
        <v>310</v>
      </c>
      <c r="AA11" s="587" t="s">
        <v>305</v>
      </c>
      <c r="AB11" s="587" t="s">
        <v>301</v>
      </c>
      <c r="AC11" s="587" t="s">
        <v>302</v>
      </c>
      <c r="AD11" s="586" t="s">
        <v>302</v>
      </c>
    </row>
    <row r="12" spans="1:30" ht="35.25" customHeight="1">
      <c r="A12" s="221"/>
      <c r="B12" s="589"/>
      <c r="C12" s="603"/>
      <c r="D12" s="603"/>
      <c r="E12" s="583"/>
      <c r="F12" s="583"/>
      <c r="G12" s="583"/>
      <c r="H12" s="265"/>
      <c r="I12" s="265" t="s">
        <v>132</v>
      </c>
      <c r="J12" s="265" t="s">
        <v>132</v>
      </c>
      <c r="K12" s="265"/>
      <c r="L12" s="265"/>
      <c r="M12" s="265" t="s">
        <v>132</v>
      </c>
      <c r="N12" s="265" t="s">
        <v>295</v>
      </c>
      <c r="O12" s="271" t="s">
        <v>311</v>
      </c>
      <c r="P12" s="265" t="s">
        <v>295</v>
      </c>
      <c r="Q12" s="271" t="s">
        <v>312</v>
      </c>
      <c r="R12" s="272">
        <v>0</v>
      </c>
      <c r="S12" s="272">
        <v>0</v>
      </c>
      <c r="T12" s="271" t="s">
        <v>313</v>
      </c>
      <c r="U12" s="583"/>
      <c r="V12" s="583"/>
      <c r="W12" s="583"/>
      <c r="X12" s="583"/>
      <c r="Y12" s="583"/>
      <c r="Z12" s="583"/>
      <c r="AA12" s="583"/>
      <c r="AB12" s="587"/>
      <c r="AC12" s="587"/>
      <c r="AD12" s="586"/>
    </row>
    <row r="13" spans="1:30" ht="35.25" customHeight="1">
      <c r="A13" s="221"/>
      <c r="B13" s="589"/>
      <c r="C13" s="603"/>
      <c r="D13" s="603"/>
      <c r="E13" s="583"/>
      <c r="F13" s="583"/>
      <c r="G13" s="587" t="s">
        <v>304</v>
      </c>
      <c r="H13" s="265" t="s">
        <v>132</v>
      </c>
      <c r="I13" s="265"/>
      <c r="J13" s="265" t="s">
        <v>132</v>
      </c>
      <c r="K13" s="265"/>
      <c r="L13" s="265" t="s">
        <v>132</v>
      </c>
      <c r="M13" s="265"/>
      <c r="N13" s="265" t="s">
        <v>295</v>
      </c>
      <c r="O13" s="271" t="s">
        <v>297</v>
      </c>
      <c r="P13" s="265" t="s">
        <v>295</v>
      </c>
      <c r="Q13" s="271" t="s">
        <v>305</v>
      </c>
      <c r="R13" s="272">
        <v>0</v>
      </c>
      <c r="S13" s="272">
        <v>0</v>
      </c>
      <c r="T13" s="271" t="s">
        <v>313</v>
      </c>
      <c r="U13" s="583"/>
      <c r="V13" s="583"/>
      <c r="W13" s="583"/>
      <c r="X13" s="583"/>
      <c r="Y13" s="583"/>
      <c r="Z13" s="583"/>
      <c r="AA13" s="583"/>
      <c r="AB13" s="587"/>
      <c r="AC13" s="587"/>
      <c r="AD13" s="586"/>
    </row>
    <row r="14" spans="1:30" ht="35.25" customHeight="1">
      <c r="A14" s="221"/>
      <c r="B14" s="589"/>
      <c r="C14" s="603"/>
      <c r="D14" s="603"/>
      <c r="E14" s="583"/>
      <c r="F14" s="583"/>
      <c r="G14" s="583"/>
      <c r="H14" s="265"/>
      <c r="I14" s="265" t="s">
        <v>132</v>
      </c>
      <c r="J14" s="265" t="s">
        <v>132</v>
      </c>
      <c r="K14" s="265"/>
      <c r="L14" s="265"/>
      <c r="M14" s="265" t="s">
        <v>132</v>
      </c>
      <c r="N14" s="265" t="s">
        <v>295</v>
      </c>
      <c r="O14" s="271" t="s">
        <v>297</v>
      </c>
      <c r="P14" s="265" t="s">
        <v>295</v>
      </c>
      <c r="Q14" s="271" t="s">
        <v>305</v>
      </c>
      <c r="R14" s="272">
        <v>0</v>
      </c>
      <c r="S14" s="272">
        <v>0</v>
      </c>
      <c r="T14" s="271" t="s">
        <v>313</v>
      </c>
      <c r="U14" s="583"/>
      <c r="V14" s="583"/>
      <c r="W14" s="583"/>
      <c r="X14" s="583"/>
      <c r="Y14" s="583"/>
      <c r="Z14" s="583"/>
      <c r="AA14" s="583"/>
      <c r="AB14" s="587"/>
      <c r="AC14" s="587"/>
      <c r="AD14" s="586"/>
    </row>
    <row r="15" spans="1:30" ht="35.25" customHeight="1" thickBot="1">
      <c r="A15" s="221"/>
      <c r="B15" s="590"/>
      <c r="C15" s="217">
        <v>3</v>
      </c>
      <c r="D15" s="273" t="s">
        <v>314</v>
      </c>
      <c r="E15" s="218">
        <v>304</v>
      </c>
      <c r="F15" s="218">
        <v>35</v>
      </c>
      <c r="G15" s="274" t="s">
        <v>294</v>
      </c>
      <c r="H15" s="218"/>
      <c r="I15" s="218" t="s">
        <v>132</v>
      </c>
      <c r="J15" s="218" t="s">
        <v>132</v>
      </c>
      <c r="K15" s="218"/>
      <c r="L15" s="218" t="s">
        <v>132</v>
      </c>
      <c r="M15" s="218"/>
      <c r="N15" s="218" t="s">
        <v>295</v>
      </c>
      <c r="O15" s="274" t="s">
        <v>297</v>
      </c>
      <c r="P15" s="218" t="s">
        <v>295</v>
      </c>
      <c r="Q15" s="274" t="s">
        <v>300</v>
      </c>
      <c r="R15" s="275">
        <v>0</v>
      </c>
      <c r="S15" s="275">
        <v>0</v>
      </c>
      <c r="T15" s="274" t="s">
        <v>315</v>
      </c>
      <c r="U15" s="218" t="s">
        <v>210</v>
      </c>
      <c r="V15" s="218" t="s">
        <v>214</v>
      </c>
      <c r="W15" s="218" t="s">
        <v>215</v>
      </c>
      <c r="X15" s="218" t="s">
        <v>212</v>
      </c>
      <c r="Y15" s="274" t="s">
        <v>316</v>
      </c>
      <c r="Z15" s="274" t="s">
        <v>316</v>
      </c>
      <c r="AA15" s="274" t="s">
        <v>317</v>
      </c>
      <c r="AB15" s="274" t="s">
        <v>301</v>
      </c>
      <c r="AC15" s="274" t="s">
        <v>302</v>
      </c>
      <c r="AD15" s="276" t="s">
        <v>302</v>
      </c>
    </row>
    <row r="16" spans="1:30" ht="35.25" customHeight="1">
      <c r="A16" s="221"/>
      <c r="B16" s="615" t="s">
        <v>318</v>
      </c>
      <c r="C16" s="613">
        <v>1</v>
      </c>
      <c r="D16" s="612" t="s">
        <v>319</v>
      </c>
      <c r="E16" s="585">
        <v>316</v>
      </c>
      <c r="F16" s="585">
        <v>20</v>
      </c>
      <c r="G16" s="585"/>
      <c r="H16" s="268"/>
      <c r="I16" s="268"/>
      <c r="J16" s="268" t="s">
        <v>132</v>
      </c>
      <c r="K16" s="268"/>
      <c r="L16" s="268" t="s">
        <v>132</v>
      </c>
      <c r="M16" s="268"/>
      <c r="N16" s="268" t="s">
        <v>320</v>
      </c>
      <c r="O16" s="269" t="s">
        <v>310</v>
      </c>
      <c r="P16" s="268" t="s">
        <v>321</v>
      </c>
      <c r="Q16" s="269" t="s">
        <v>305</v>
      </c>
      <c r="R16" s="268" t="s">
        <v>322</v>
      </c>
      <c r="S16" s="269" t="s">
        <v>305</v>
      </c>
      <c r="T16" s="269" t="s">
        <v>306</v>
      </c>
      <c r="U16" s="585" t="s">
        <v>218</v>
      </c>
      <c r="V16" s="585" t="s">
        <v>211</v>
      </c>
      <c r="W16" s="585" t="s">
        <v>212</v>
      </c>
      <c r="X16" s="585" t="s">
        <v>217</v>
      </c>
      <c r="Y16" s="585" t="s">
        <v>185</v>
      </c>
      <c r="Z16" s="585" t="s">
        <v>185</v>
      </c>
      <c r="AA16" s="605" t="s">
        <v>317</v>
      </c>
      <c r="AB16" s="605" t="s">
        <v>301</v>
      </c>
      <c r="AC16" s="605" t="s">
        <v>302</v>
      </c>
      <c r="AD16" s="608" t="s">
        <v>302</v>
      </c>
    </row>
    <row r="17" spans="1:30" ht="35.25" customHeight="1">
      <c r="A17" s="221"/>
      <c r="B17" s="616"/>
      <c r="C17" s="603"/>
      <c r="D17" s="603"/>
      <c r="E17" s="583"/>
      <c r="F17" s="583"/>
      <c r="G17" s="583"/>
      <c r="H17" s="265"/>
      <c r="I17" s="265"/>
      <c r="J17" s="265"/>
      <c r="K17" s="265" t="s">
        <v>132</v>
      </c>
      <c r="L17" s="265"/>
      <c r="M17" s="265" t="s">
        <v>132</v>
      </c>
      <c r="N17" s="265" t="s">
        <v>323</v>
      </c>
      <c r="O17" s="271" t="s">
        <v>310</v>
      </c>
      <c r="P17" s="265" t="s">
        <v>321</v>
      </c>
      <c r="Q17" s="271" t="s">
        <v>300</v>
      </c>
      <c r="R17" s="265" t="s">
        <v>324</v>
      </c>
      <c r="S17" s="271" t="s">
        <v>297</v>
      </c>
      <c r="T17" s="271" t="s">
        <v>306</v>
      </c>
      <c r="U17" s="583"/>
      <c r="V17" s="583"/>
      <c r="W17" s="583"/>
      <c r="X17" s="583"/>
      <c r="Y17" s="583"/>
      <c r="Z17" s="583"/>
      <c r="AA17" s="583"/>
      <c r="AB17" s="587"/>
      <c r="AC17" s="587"/>
      <c r="AD17" s="586"/>
    </row>
    <row r="18" spans="1:30" ht="35.25" customHeight="1">
      <c r="A18" s="221"/>
      <c r="B18" s="616"/>
      <c r="C18" s="603"/>
      <c r="D18" s="603"/>
      <c r="E18" s="583">
        <v>304</v>
      </c>
      <c r="F18" s="583">
        <v>20</v>
      </c>
      <c r="G18" s="583"/>
      <c r="H18" s="265"/>
      <c r="I18" s="265"/>
      <c r="J18" s="265" t="s">
        <v>132</v>
      </c>
      <c r="K18" s="265"/>
      <c r="L18" s="265" t="s">
        <v>132</v>
      </c>
      <c r="M18" s="265"/>
      <c r="N18" s="265" t="s">
        <v>320</v>
      </c>
      <c r="O18" s="271" t="s">
        <v>310</v>
      </c>
      <c r="P18" s="265" t="s">
        <v>325</v>
      </c>
      <c r="Q18" s="271" t="s">
        <v>300</v>
      </c>
      <c r="R18" s="265" t="s">
        <v>326</v>
      </c>
      <c r="S18" s="271" t="s">
        <v>297</v>
      </c>
      <c r="T18" s="271" t="s">
        <v>306</v>
      </c>
      <c r="U18" s="583" t="s">
        <v>218</v>
      </c>
      <c r="V18" s="583" t="s">
        <v>211</v>
      </c>
      <c r="W18" s="583" t="s">
        <v>212</v>
      </c>
      <c r="X18" s="583" t="s">
        <v>217</v>
      </c>
      <c r="Y18" s="587" t="s">
        <v>316</v>
      </c>
      <c r="Z18" s="587" t="s">
        <v>316</v>
      </c>
      <c r="AA18" s="587" t="s">
        <v>317</v>
      </c>
      <c r="AB18" s="587" t="s">
        <v>301</v>
      </c>
      <c r="AC18" s="587" t="s">
        <v>302</v>
      </c>
      <c r="AD18" s="586" t="s">
        <v>302</v>
      </c>
    </row>
    <row r="19" spans="1:30" ht="35.25" customHeight="1">
      <c r="A19" s="221"/>
      <c r="B19" s="616"/>
      <c r="C19" s="603"/>
      <c r="D19" s="603"/>
      <c r="E19" s="583"/>
      <c r="F19" s="583"/>
      <c r="G19" s="583"/>
      <c r="H19" s="265"/>
      <c r="I19" s="265"/>
      <c r="J19" s="265"/>
      <c r="K19" s="265" t="s">
        <v>132</v>
      </c>
      <c r="L19" s="265"/>
      <c r="M19" s="265" t="s">
        <v>132</v>
      </c>
      <c r="N19" s="265" t="s">
        <v>323</v>
      </c>
      <c r="O19" s="271" t="s">
        <v>310</v>
      </c>
      <c r="P19" s="265" t="s">
        <v>321</v>
      </c>
      <c r="Q19" s="271" t="s">
        <v>300</v>
      </c>
      <c r="R19" s="265" t="s">
        <v>326</v>
      </c>
      <c r="S19" s="271" t="s">
        <v>305</v>
      </c>
      <c r="T19" s="271" t="s">
        <v>313</v>
      </c>
      <c r="U19" s="583"/>
      <c r="V19" s="583"/>
      <c r="W19" s="583"/>
      <c r="X19" s="583"/>
      <c r="Y19" s="583"/>
      <c r="Z19" s="583"/>
      <c r="AA19" s="583"/>
      <c r="AB19" s="587"/>
      <c r="AC19" s="587"/>
      <c r="AD19" s="586"/>
    </row>
    <row r="20" spans="1:30" ht="35.25" customHeight="1">
      <c r="A20" s="221"/>
      <c r="B20" s="616"/>
      <c r="C20" s="603">
        <v>2</v>
      </c>
      <c r="D20" s="604" t="s">
        <v>327</v>
      </c>
      <c r="E20" s="583">
        <v>316</v>
      </c>
      <c r="F20" s="583">
        <v>16</v>
      </c>
      <c r="G20" s="583"/>
      <c r="H20" s="265"/>
      <c r="I20" s="265"/>
      <c r="J20" s="265" t="s">
        <v>132</v>
      </c>
      <c r="K20" s="265"/>
      <c r="L20" s="265" t="s">
        <v>132</v>
      </c>
      <c r="M20" s="265"/>
      <c r="N20" s="265" t="s">
        <v>328</v>
      </c>
      <c r="O20" s="271" t="s">
        <v>310</v>
      </c>
      <c r="P20" s="265" t="s">
        <v>329</v>
      </c>
      <c r="Q20" s="271" t="s">
        <v>305</v>
      </c>
      <c r="R20" s="265" t="s">
        <v>330</v>
      </c>
      <c r="S20" s="271" t="s">
        <v>305</v>
      </c>
      <c r="T20" s="271" t="s">
        <v>306</v>
      </c>
      <c r="U20" s="583" t="s">
        <v>218</v>
      </c>
      <c r="V20" s="583" t="s">
        <v>211</v>
      </c>
      <c r="W20" s="583" t="s">
        <v>212</v>
      </c>
      <c r="X20" s="583" t="s">
        <v>217</v>
      </c>
      <c r="Y20" s="587" t="s">
        <v>316</v>
      </c>
      <c r="Z20" s="587" t="s">
        <v>316</v>
      </c>
      <c r="AA20" s="587" t="s">
        <v>317</v>
      </c>
      <c r="AB20" s="587" t="s">
        <v>301</v>
      </c>
      <c r="AC20" s="587" t="s">
        <v>302</v>
      </c>
      <c r="AD20" s="586" t="s">
        <v>302</v>
      </c>
    </row>
    <row r="21" spans="1:30" ht="35.25" customHeight="1">
      <c r="A21" s="221"/>
      <c r="B21" s="616"/>
      <c r="C21" s="603"/>
      <c r="D21" s="603"/>
      <c r="E21" s="583"/>
      <c r="F21" s="583"/>
      <c r="G21" s="583"/>
      <c r="H21" s="265"/>
      <c r="I21" s="265"/>
      <c r="J21" s="265"/>
      <c r="K21" s="265" t="s">
        <v>132</v>
      </c>
      <c r="L21" s="265"/>
      <c r="M21" s="265" t="s">
        <v>132</v>
      </c>
      <c r="N21" s="265" t="s">
        <v>328</v>
      </c>
      <c r="O21" s="271" t="s">
        <v>310</v>
      </c>
      <c r="P21" s="265" t="s">
        <v>329</v>
      </c>
      <c r="Q21" s="271" t="s">
        <v>305</v>
      </c>
      <c r="R21" s="265" t="s">
        <v>330</v>
      </c>
      <c r="S21" s="271" t="s">
        <v>297</v>
      </c>
      <c r="T21" s="271" t="s">
        <v>298</v>
      </c>
      <c r="U21" s="583"/>
      <c r="V21" s="583"/>
      <c r="W21" s="583"/>
      <c r="X21" s="583"/>
      <c r="Y21" s="583"/>
      <c r="Z21" s="583"/>
      <c r="AA21" s="583"/>
      <c r="AB21" s="587"/>
      <c r="AC21" s="587"/>
      <c r="AD21" s="586"/>
    </row>
    <row r="22" spans="1:30" ht="35.25" customHeight="1">
      <c r="A22" s="221"/>
      <c r="B22" s="616"/>
      <c r="C22" s="603"/>
      <c r="D22" s="603"/>
      <c r="E22" s="583">
        <v>304</v>
      </c>
      <c r="F22" s="583">
        <v>16</v>
      </c>
      <c r="G22" s="583"/>
      <c r="H22" s="265"/>
      <c r="I22" s="265"/>
      <c r="J22" s="265" t="s">
        <v>132</v>
      </c>
      <c r="K22" s="265"/>
      <c r="L22" s="265" t="s">
        <v>132</v>
      </c>
      <c r="M22" s="265"/>
      <c r="N22" s="265" t="s">
        <v>328</v>
      </c>
      <c r="O22" s="271" t="s">
        <v>310</v>
      </c>
      <c r="P22" s="265" t="s">
        <v>329</v>
      </c>
      <c r="Q22" s="271" t="s">
        <v>305</v>
      </c>
      <c r="R22" s="265" t="s">
        <v>330</v>
      </c>
      <c r="S22" s="271" t="s">
        <v>305</v>
      </c>
      <c r="T22" s="271" t="s">
        <v>306</v>
      </c>
      <c r="U22" s="583" t="s">
        <v>218</v>
      </c>
      <c r="V22" s="583" t="s">
        <v>211</v>
      </c>
      <c r="W22" s="583" t="s">
        <v>212</v>
      </c>
      <c r="X22" s="583" t="s">
        <v>217</v>
      </c>
      <c r="Y22" s="587" t="s">
        <v>316</v>
      </c>
      <c r="Z22" s="587" t="s">
        <v>316</v>
      </c>
      <c r="AA22" s="587" t="s">
        <v>317</v>
      </c>
      <c r="AB22" s="587" t="s">
        <v>301</v>
      </c>
      <c r="AC22" s="587" t="s">
        <v>302</v>
      </c>
      <c r="AD22" s="586" t="s">
        <v>302</v>
      </c>
    </row>
    <row r="23" spans="1:30" ht="35.25" customHeight="1">
      <c r="A23" s="221"/>
      <c r="B23" s="616"/>
      <c r="C23" s="614"/>
      <c r="D23" s="614"/>
      <c r="E23" s="584"/>
      <c r="F23" s="584"/>
      <c r="G23" s="584"/>
      <c r="H23" s="519"/>
      <c r="I23" s="519"/>
      <c r="J23" s="519"/>
      <c r="K23" s="519" t="s">
        <v>132</v>
      </c>
      <c r="L23" s="519"/>
      <c r="M23" s="519" t="s">
        <v>132</v>
      </c>
      <c r="N23" s="519" t="s">
        <v>328</v>
      </c>
      <c r="O23" s="520" t="s">
        <v>310</v>
      </c>
      <c r="P23" s="519" t="s">
        <v>329</v>
      </c>
      <c r="Q23" s="520" t="s">
        <v>305</v>
      </c>
      <c r="R23" s="519" t="s">
        <v>330</v>
      </c>
      <c r="S23" s="520" t="s">
        <v>297</v>
      </c>
      <c r="T23" s="520" t="s">
        <v>298</v>
      </c>
      <c r="U23" s="584"/>
      <c r="V23" s="584"/>
      <c r="W23" s="584"/>
      <c r="X23" s="584"/>
      <c r="Y23" s="584"/>
      <c r="Z23" s="584"/>
      <c r="AA23" s="584"/>
      <c r="AB23" s="609"/>
      <c r="AC23" s="609"/>
      <c r="AD23" s="607"/>
    </row>
    <row r="24" spans="1:30" ht="56.25" customHeight="1" thickBot="1">
      <c r="A24" s="221"/>
      <c r="B24" s="617"/>
      <c r="C24" s="517">
        <v>3</v>
      </c>
      <c r="D24" s="517" t="s">
        <v>406</v>
      </c>
      <c r="E24" s="513"/>
      <c r="F24" s="513"/>
      <c r="G24" s="513"/>
      <c r="H24" s="513" t="s">
        <v>132</v>
      </c>
      <c r="I24" s="513"/>
      <c r="J24" s="513" t="s">
        <v>132</v>
      </c>
      <c r="K24" s="513"/>
      <c r="L24" s="513" t="s">
        <v>132</v>
      </c>
      <c r="M24" s="513"/>
      <c r="N24" s="513" t="s">
        <v>407</v>
      </c>
      <c r="O24" s="516" t="s">
        <v>300</v>
      </c>
      <c r="P24" s="513" t="s">
        <v>408</v>
      </c>
      <c r="Q24" s="516" t="s">
        <v>305</v>
      </c>
      <c r="R24" s="513" t="s">
        <v>409</v>
      </c>
      <c r="S24" s="516" t="s">
        <v>300</v>
      </c>
      <c r="T24" s="516" t="s">
        <v>306</v>
      </c>
      <c r="U24" s="513" t="s">
        <v>218</v>
      </c>
      <c r="V24" s="513" t="s">
        <v>211</v>
      </c>
      <c r="W24" s="513" t="s">
        <v>212</v>
      </c>
      <c r="X24" s="513" t="s">
        <v>217</v>
      </c>
      <c r="Y24" s="516" t="s">
        <v>316</v>
      </c>
      <c r="Z24" s="516" t="s">
        <v>316</v>
      </c>
      <c r="AA24" s="516" t="s">
        <v>317</v>
      </c>
      <c r="AB24" s="516" t="s">
        <v>301</v>
      </c>
      <c r="AC24" s="516" t="s">
        <v>302</v>
      </c>
      <c r="AD24" s="515" t="s">
        <v>302</v>
      </c>
    </row>
    <row r="25" spans="1:30" ht="35.25" customHeight="1">
      <c r="A25" s="221"/>
      <c r="B25" s="588" t="s">
        <v>331</v>
      </c>
      <c r="C25" s="277">
        <v>1</v>
      </c>
      <c r="D25" s="278" t="s">
        <v>332</v>
      </c>
      <c r="E25" s="268">
        <v>304</v>
      </c>
      <c r="F25" s="268">
        <v>23</v>
      </c>
      <c r="G25" s="268"/>
      <c r="H25" s="268"/>
      <c r="I25" s="268"/>
      <c r="J25" s="268"/>
      <c r="K25" s="268" t="s">
        <v>132</v>
      </c>
      <c r="L25" s="268"/>
      <c r="M25" s="268"/>
      <c r="N25" s="268" t="s">
        <v>295</v>
      </c>
      <c r="O25" s="269" t="s">
        <v>296</v>
      </c>
      <c r="P25" s="268" t="s">
        <v>295</v>
      </c>
      <c r="Q25" s="269" t="s">
        <v>305</v>
      </c>
      <c r="R25" s="270">
        <v>0</v>
      </c>
      <c r="S25" s="269" t="s">
        <v>310</v>
      </c>
      <c r="T25" s="269" t="s">
        <v>333</v>
      </c>
      <c r="U25" s="268" t="s">
        <v>218</v>
      </c>
      <c r="V25" s="268" t="s">
        <v>211</v>
      </c>
      <c r="W25" s="268" t="s">
        <v>212</v>
      </c>
      <c r="X25" s="268" t="s">
        <v>213</v>
      </c>
      <c r="Y25" s="514" t="s">
        <v>317</v>
      </c>
      <c r="Z25" s="269" t="s">
        <v>316</v>
      </c>
      <c r="AA25" s="269" t="s">
        <v>299</v>
      </c>
      <c r="AB25" s="269" t="s">
        <v>301</v>
      </c>
      <c r="AC25" s="269" t="s">
        <v>302</v>
      </c>
      <c r="AD25" s="279" t="s">
        <v>302</v>
      </c>
    </row>
    <row r="26" spans="1:30" ht="35.25" customHeight="1" thickBot="1">
      <c r="A26" s="222"/>
      <c r="B26" s="590"/>
      <c r="C26" s="217">
        <v>2</v>
      </c>
      <c r="D26" s="273" t="s">
        <v>334</v>
      </c>
      <c r="E26" s="218" t="s">
        <v>216</v>
      </c>
      <c r="F26" s="218">
        <v>30</v>
      </c>
      <c r="G26" s="218"/>
      <c r="H26" s="218" t="s">
        <v>132</v>
      </c>
      <c r="I26" s="218"/>
      <c r="J26" s="218" t="s">
        <v>132</v>
      </c>
      <c r="K26" s="218"/>
      <c r="L26" s="218" t="s">
        <v>132</v>
      </c>
      <c r="M26" s="218"/>
      <c r="N26" s="218" t="s">
        <v>308</v>
      </c>
      <c r="O26" s="274" t="s">
        <v>296</v>
      </c>
      <c r="P26" s="218" t="s">
        <v>295</v>
      </c>
      <c r="Q26" s="274" t="s">
        <v>305</v>
      </c>
      <c r="R26" s="275">
        <v>0</v>
      </c>
      <c r="S26" s="275">
        <v>0</v>
      </c>
      <c r="T26" s="274" t="s">
        <v>306</v>
      </c>
      <c r="U26" s="218" t="s">
        <v>210</v>
      </c>
      <c r="V26" s="218" t="s">
        <v>214</v>
      </c>
      <c r="W26" s="218" t="s">
        <v>215</v>
      </c>
      <c r="X26" s="218" t="s">
        <v>213</v>
      </c>
      <c r="Y26" s="274" t="s">
        <v>317</v>
      </c>
      <c r="Z26" s="274" t="s">
        <v>317</v>
      </c>
      <c r="AA26" s="274" t="s">
        <v>310</v>
      </c>
      <c r="AB26" s="274" t="s">
        <v>301</v>
      </c>
      <c r="AC26" s="274" t="s">
        <v>302</v>
      </c>
      <c r="AD26" s="276" t="s">
        <v>302</v>
      </c>
    </row>
  </sheetData>
  <mergeCells count="135">
    <mergeCell ref="B1:AD1"/>
    <mergeCell ref="Y5:Y6"/>
    <mergeCell ref="Z5:Z6"/>
    <mergeCell ref="AA5:AA6"/>
    <mergeCell ref="AB5:AB6"/>
    <mergeCell ref="AC5:AC6"/>
    <mergeCell ref="AD5:AD6"/>
    <mergeCell ref="Y7:Y8"/>
    <mergeCell ref="Z7:Z8"/>
    <mergeCell ref="AA7:AA8"/>
    <mergeCell ref="AB7:AB8"/>
    <mergeCell ref="AC7:AC8"/>
    <mergeCell ref="AD7:AD8"/>
    <mergeCell ref="AB2:AD2"/>
    <mergeCell ref="N2:T2"/>
    <mergeCell ref="AC3:AC4"/>
    <mergeCell ref="AB3:AB4"/>
    <mergeCell ref="AD3:AD4"/>
    <mergeCell ref="F5:F8"/>
    <mergeCell ref="W3:W4"/>
    <mergeCell ref="X3:X4"/>
    <mergeCell ref="X5:X10"/>
    <mergeCell ref="W5:W10"/>
    <mergeCell ref="T3:T4"/>
    <mergeCell ref="B25:B26"/>
    <mergeCell ref="D16:D19"/>
    <mergeCell ref="C16:C19"/>
    <mergeCell ref="C20:C23"/>
    <mergeCell ref="D20:D23"/>
    <mergeCell ref="E2:E4"/>
    <mergeCell ref="D2:D4"/>
    <mergeCell ref="C2:C4"/>
    <mergeCell ref="E9:E10"/>
    <mergeCell ref="C5:C10"/>
    <mergeCell ref="D5:D10"/>
    <mergeCell ref="B16:B24"/>
    <mergeCell ref="U2:X2"/>
    <mergeCell ref="AD22:AD23"/>
    <mergeCell ref="AB9:AB10"/>
    <mergeCell ref="AD16:AD17"/>
    <mergeCell ref="AC16:AC17"/>
    <mergeCell ref="AB16:AB17"/>
    <mergeCell ref="AD18:AD19"/>
    <mergeCell ref="AD11:AD14"/>
    <mergeCell ref="AB22:AB23"/>
    <mergeCell ref="AC22:AC23"/>
    <mergeCell ref="AC11:AC14"/>
    <mergeCell ref="AB18:AB19"/>
    <mergeCell ref="AC18:AC19"/>
    <mergeCell ref="AD20:AD21"/>
    <mergeCell ref="Y9:Y10"/>
    <mergeCell ref="Z9:Z10"/>
    <mergeCell ref="AA9:AA10"/>
    <mergeCell ref="AA3:AA4"/>
    <mergeCell ref="Z3:Z4"/>
    <mergeCell ref="Y3:Y4"/>
    <mergeCell ref="U3:U4"/>
    <mergeCell ref="V3:V4"/>
    <mergeCell ref="V5:V10"/>
    <mergeCell ref="U5:U10"/>
    <mergeCell ref="G5:G6"/>
    <mergeCell ref="AA16:AA17"/>
    <mergeCell ref="Y20:Y21"/>
    <mergeCell ref="Z20:Z21"/>
    <mergeCell ref="AA20:AA21"/>
    <mergeCell ref="V11:V14"/>
    <mergeCell ref="W11:W14"/>
    <mergeCell ref="X11:X14"/>
    <mergeCell ref="U11:U14"/>
    <mergeCell ref="AB20:AB21"/>
    <mergeCell ref="AC20:AC21"/>
    <mergeCell ref="F9:F10"/>
    <mergeCell ref="F11:F14"/>
    <mergeCell ref="Y11:Y14"/>
    <mergeCell ref="Z11:Z14"/>
    <mergeCell ref="AA11:AA14"/>
    <mergeCell ref="G9:G10"/>
    <mergeCell ref="G13:G14"/>
    <mergeCell ref="G11:G12"/>
    <mergeCell ref="U18:U19"/>
    <mergeCell ref="V18:V19"/>
    <mergeCell ref="U20:U21"/>
    <mergeCell ref="F18:F19"/>
    <mergeCell ref="G16:G17"/>
    <mergeCell ref="G18:G19"/>
    <mergeCell ref="G20:G21"/>
    <mergeCell ref="AC9:AC10"/>
    <mergeCell ref="AB11:AB14"/>
    <mergeCell ref="Z16:Z17"/>
    <mergeCell ref="Y16:Y17"/>
    <mergeCell ref="Y18:Y19"/>
    <mergeCell ref="Z18:Z19"/>
    <mergeCell ref="AA18:AA19"/>
    <mergeCell ref="AD9:AD10"/>
    <mergeCell ref="Y22:Y23"/>
    <mergeCell ref="Z22:Z23"/>
    <mergeCell ref="B5:B15"/>
    <mergeCell ref="G22:G23"/>
    <mergeCell ref="U16:U17"/>
    <mergeCell ref="F16:F17"/>
    <mergeCell ref="G2:G4"/>
    <mergeCell ref="G7:G8"/>
    <mergeCell ref="E5:E8"/>
    <mergeCell ref="Y2:AA2"/>
    <mergeCell ref="B2:B4"/>
    <mergeCell ref="H2:M2"/>
    <mergeCell ref="H3:I3"/>
    <mergeCell ref="J3:K3"/>
    <mergeCell ref="L3:M3"/>
    <mergeCell ref="F2:F4"/>
    <mergeCell ref="N3:O4"/>
    <mergeCell ref="P3:Q4"/>
    <mergeCell ref="R3:S4"/>
    <mergeCell ref="C11:C14"/>
    <mergeCell ref="D11:D14"/>
    <mergeCell ref="E11:E14"/>
    <mergeCell ref="AA22:AA23"/>
    <mergeCell ref="F22:F23"/>
    <mergeCell ref="E22:E23"/>
    <mergeCell ref="E20:E21"/>
    <mergeCell ref="E18:E19"/>
    <mergeCell ref="E16:E17"/>
    <mergeCell ref="F20:F21"/>
    <mergeCell ref="X16:X17"/>
    <mergeCell ref="W16:W17"/>
    <mergeCell ref="V16:V17"/>
    <mergeCell ref="V20:V21"/>
    <mergeCell ref="X22:X23"/>
    <mergeCell ref="W18:W19"/>
    <mergeCell ref="X18:X19"/>
    <mergeCell ref="X20:X21"/>
    <mergeCell ref="W20:W21"/>
    <mergeCell ref="W22:W23"/>
    <mergeCell ref="U22:U23"/>
    <mergeCell ref="V22:V23"/>
  </mergeCells>
  <printOptions horizontalCentered="1"/>
  <pageMargins left="0.05" right="0.05" top="0.05" bottom="0.05" header="0.05" footer="0.05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G88"/>
  <sheetViews>
    <sheetView showGridLines="0" tabSelected="1" topLeftCell="B1" zoomScale="85" zoomScaleNormal="85" workbookViewId="0">
      <pane xSplit="10" ySplit="3" topLeftCell="L4" activePane="bottomRight" state="frozen"/>
      <selection activeCell="B1" sqref="B1"/>
      <selection pane="topRight" activeCell="H1" sqref="H1"/>
      <selection pane="bottomLeft" activeCell="B4" sqref="B4"/>
      <selection pane="bottomRight" activeCell="I14" sqref="I14"/>
    </sheetView>
  </sheetViews>
  <sheetFormatPr defaultColWidth="9.140625" defaultRowHeight="15"/>
  <cols>
    <col min="1" max="1" width="4.140625" style="1" customWidth="1"/>
    <col min="2" max="2" width="10.140625" style="1" customWidth="1"/>
    <col min="3" max="3" width="10.28515625" style="1" customWidth="1"/>
    <col min="4" max="4" width="7.140625" style="137" customWidth="1"/>
    <col min="5" max="5" width="22.28515625" style="1" customWidth="1"/>
    <col min="6" max="6" width="10.140625" style="147" bestFit="1" customWidth="1"/>
    <col min="7" max="7" width="11.42578125" style="1" customWidth="1"/>
    <col min="8" max="8" width="10.5703125" style="1" bestFit="1" customWidth="1"/>
    <col min="9" max="9" width="9.85546875" style="1" customWidth="1"/>
    <col min="10" max="10" width="11.140625" style="1" customWidth="1"/>
    <col min="11" max="11" width="12.85546875" style="1" customWidth="1"/>
    <col min="12" max="12" width="11.7109375" style="1" customWidth="1"/>
    <col min="13" max="13" width="11.5703125" style="1" customWidth="1"/>
    <col min="14" max="14" width="14.28515625" style="1" bestFit="1" customWidth="1"/>
    <col min="15" max="15" width="12.28515625" style="1" customWidth="1"/>
    <col min="16" max="16" width="10.5703125" style="1" customWidth="1"/>
    <col min="17" max="17" width="9.5703125" style="1" bestFit="1" customWidth="1"/>
    <col min="18" max="18" width="11.7109375" style="137" customWidth="1"/>
    <col min="19" max="19" width="17.28515625" style="137" customWidth="1"/>
    <col min="20" max="20" width="11.7109375" style="1" customWidth="1"/>
    <col min="21" max="21" width="12.5703125" style="1" customWidth="1"/>
    <col min="22" max="22" width="13.5703125" style="1" customWidth="1"/>
    <col min="23" max="24" width="11.85546875" style="1" customWidth="1"/>
    <col min="25" max="25" width="9.140625" style="1" customWidth="1"/>
    <col min="26" max="26" width="16.28515625" style="1" customWidth="1"/>
    <col min="27" max="27" width="14.28515625" style="1" customWidth="1"/>
    <col min="28" max="28" width="16.42578125" style="1" customWidth="1"/>
    <col min="29" max="29" width="12.7109375" style="1" customWidth="1"/>
    <col min="30" max="30" width="13.28515625" style="1" bestFit="1" customWidth="1"/>
    <col min="31" max="32" width="12.7109375" style="1" customWidth="1"/>
    <col min="33" max="16384" width="9.140625" style="1"/>
  </cols>
  <sheetData>
    <row r="1" spans="2:33" ht="36.75" customHeight="1" thickBot="1">
      <c r="B1" s="625" t="s">
        <v>261</v>
      </c>
      <c r="C1" s="626"/>
      <c r="D1" s="626"/>
      <c r="E1" s="626"/>
      <c r="F1" s="627"/>
      <c r="G1" s="627"/>
      <c r="H1" s="627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8"/>
      <c r="T1" s="212"/>
      <c r="U1" s="212"/>
      <c r="V1" s="212"/>
      <c r="W1" s="212"/>
      <c r="X1" s="212"/>
      <c r="Y1" s="212"/>
      <c r="Z1" s="213"/>
    </row>
    <row r="2" spans="2:33" ht="20.25" customHeight="1">
      <c r="B2" s="643" t="s">
        <v>150</v>
      </c>
      <c r="C2" s="641" t="s">
        <v>4</v>
      </c>
      <c r="D2" s="676" t="s">
        <v>152</v>
      </c>
      <c r="E2" s="674" t="s">
        <v>0</v>
      </c>
      <c r="F2" s="651" t="s">
        <v>339</v>
      </c>
      <c r="G2" s="649" t="s">
        <v>375</v>
      </c>
      <c r="H2" s="650"/>
      <c r="I2" s="647" t="s">
        <v>262</v>
      </c>
      <c r="J2" s="665" t="s">
        <v>5</v>
      </c>
      <c r="K2" s="665"/>
      <c r="L2" s="671" t="s">
        <v>129</v>
      </c>
      <c r="M2" s="672"/>
      <c r="N2" s="673"/>
      <c r="O2" s="665" t="s">
        <v>6</v>
      </c>
      <c r="P2" s="665"/>
      <c r="Q2" s="665"/>
      <c r="R2" s="666"/>
      <c r="S2" s="665"/>
      <c r="T2" s="667" t="s">
        <v>7</v>
      </c>
      <c r="U2" s="665"/>
      <c r="V2" s="665"/>
      <c r="W2" s="665"/>
      <c r="X2" s="665"/>
      <c r="Y2" s="665"/>
      <c r="Z2" s="668" t="s">
        <v>182</v>
      </c>
      <c r="AB2" s="664" t="s">
        <v>15</v>
      </c>
      <c r="AC2" s="665"/>
      <c r="AD2" s="665" t="s">
        <v>16</v>
      </c>
      <c r="AE2" s="665" t="s">
        <v>17</v>
      </c>
      <c r="AF2" s="662" t="s">
        <v>18</v>
      </c>
    </row>
    <row r="3" spans="2:33" ht="32.25" customHeight="1" thickBot="1">
      <c r="B3" s="644"/>
      <c r="C3" s="642"/>
      <c r="D3" s="677"/>
      <c r="E3" s="675"/>
      <c r="F3" s="652"/>
      <c r="G3" s="303" t="s">
        <v>263</v>
      </c>
      <c r="H3" s="267" t="s">
        <v>264</v>
      </c>
      <c r="I3" s="648"/>
      <c r="J3" s="244" t="s">
        <v>8</v>
      </c>
      <c r="K3" s="244" t="s">
        <v>9</v>
      </c>
      <c r="L3" s="245" t="s">
        <v>130</v>
      </c>
      <c r="M3" s="245" t="s">
        <v>131</v>
      </c>
      <c r="N3" s="245" t="s">
        <v>133</v>
      </c>
      <c r="O3" s="246" t="s">
        <v>377</v>
      </c>
      <c r="P3" s="246" t="s">
        <v>32</v>
      </c>
      <c r="Q3" s="246" t="s">
        <v>378</v>
      </c>
      <c r="R3" s="246" t="s">
        <v>32</v>
      </c>
      <c r="S3" s="244" t="s">
        <v>10</v>
      </c>
      <c r="T3" s="247" t="s">
        <v>11</v>
      </c>
      <c r="U3" s="244" t="s">
        <v>12</v>
      </c>
      <c r="V3" s="244" t="s">
        <v>13</v>
      </c>
      <c r="W3" s="244" t="s">
        <v>14</v>
      </c>
      <c r="X3" s="244" t="s">
        <v>156</v>
      </c>
      <c r="Y3" s="244" t="s">
        <v>10</v>
      </c>
      <c r="Z3" s="669"/>
      <c r="AB3" s="2" t="s">
        <v>19</v>
      </c>
      <c r="AC3" s="3" t="s">
        <v>20</v>
      </c>
      <c r="AD3" s="670"/>
      <c r="AE3" s="670"/>
      <c r="AF3" s="663"/>
      <c r="AG3" s="1" t="s">
        <v>370</v>
      </c>
    </row>
    <row r="4" spans="2:33" s="138" customFormat="1" ht="21" customHeight="1">
      <c r="B4" s="653" t="s">
        <v>151</v>
      </c>
      <c r="C4" s="289">
        <v>46204</v>
      </c>
      <c r="D4" s="241" t="str">
        <f t="shared" ref="D4:D18" si="0">TEXT(C4, "DDD")</f>
        <v>Wed</v>
      </c>
      <c r="E4" s="136" t="s">
        <v>381</v>
      </c>
      <c r="F4" s="292">
        <v>21860</v>
      </c>
      <c r="G4" s="556">
        <v>1</v>
      </c>
      <c r="H4" s="556">
        <v>0.75</v>
      </c>
      <c r="I4" s="539">
        <v>850</v>
      </c>
      <c r="J4" s="254">
        <v>0</v>
      </c>
      <c r="K4" s="253">
        <v>34000</v>
      </c>
      <c r="L4" s="248">
        <v>5844</v>
      </c>
      <c r="M4" s="242">
        <f>GIADIEN(P4, R4)</f>
        <v>1870.5999999999888</v>
      </c>
      <c r="N4" s="242">
        <f t="shared" ref="N4:N17" si="1">+M4*L4</f>
        <v>10931786.399999935</v>
      </c>
      <c r="O4" s="581">
        <v>46204</v>
      </c>
      <c r="P4" s="361">
        <v>0.72916666666666685</v>
      </c>
      <c r="Q4" s="581">
        <v>46205</v>
      </c>
      <c r="R4" s="371">
        <v>0.14583333333333331</v>
      </c>
      <c r="S4" s="466">
        <f>((INT(Q4) + R4) - (INT(O4) + P4)) * 24</f>
        <v>10.000000000116415</v>
      </c>
      <c r="T4" s="248">
        <f>+IFERROR(N4/K4,0)</f>
        <v>321.5231294117628</v>
      </c>
      <c r="U4" s="242">
        <f>+VLOOKUP(E4,'DINH MUC CHI PHI VH'!$C$4:$K$102,7,0)</f>
        <v>13.19371794871795</v>
      </c>
      <c r="V4" s="242">
        <f>VLOOKUP(E4, 'DINH MUC CHI PHI VH'!$C$4:$N$102, 12, 0) * F4</f>
        <v>8.2550263157894737</v>
      </c>
      <c r="W4" s="242">
        <f>+VLOOKUP(E4,'DINH MUC CHI PHI VH'!$C$4:$K$102,9,0)</f>
        <v>15</v>
      </c>
      <c r="X4" s="242">
        <f>+VLOOKUP(E4,'DINH MUC CHI PHI VH'!$C$4:$K$102,6,0)</f>
        <v>19.07673611111111</v>
      </c>
      <c r="Y4" s="242">
        <f t="shared" ref="Y4:Y10" si="2">SUM(T4:X4)</f>
        <v>377.04860978738134</v>
      </c>
      <c r="Z4" s="243">
        <f t="shared" ref="Z4:Z34" si="3">+Y4*K4</f>
        <v>12819652.732770966</v>
      </c>
      <c r="AA4" s="163">
        <f>+V4*K4</f>
        <v>280670.89473684208</v>
      </c>
      <c r="AB4" s="369">
        <v>0.39583333333333331</v>
      </c>
      <c r="AC4" s="370">
        <v>0.47916666666666669</v>
      </c>
      <c r="AD4" s="255" t="s">
        <v>21</v>
      </c>
      <c r="AE4" s="251"/>
      <c r="AF4" s="252">
        <v>3398</v>
      </c>
      <c r="AG4" s="138" t="str">
        <f>VLOOKUP(E4,'DINH MUC CHI PHI VH'!$C$4:$P$102,14,0)</f>
        <v>ÉP BÁNH</v>
      </c>
    </row>
    <row r="5" spans="2:33" s="138" customFormat="1" ht="20.25" customHeight="1">
      <c r="B5" s="654"/>
      <c r="C5" s="289">
        <v>46205</v>
      </c>
      <c r="D5" s="146" t="str">
        <f t="shared" si="0"/>
        <v>Thu</v>
      </c>
      <c r="E5" s="136" t="s">
        <v>338</v>
      </c>
      <c r="F5" s="296">
        <v>21860</v>
      </c>
      <c r="G5" s="557">
        <v>0.5</v>
      </c>
      <c r="H5" s="557">
        <v>0.5</v>
      </c>
      <c r="I5" s="539">
        <v>800</v>
      </c>
      <c r="J5" s="254">
        <v>0</v>
      </c>
      <c r="K5" s="242">
        <v>15000</v>
      </c>
      <c r="L5" s="249">
        <v>3715</v>
      </c>
      <c r="M5" s="242">
        <f>GIADIEN(P5, R5)</f>
        <v>2145.9999999999814</v>
      </c>
      <c r="N5" s="254">
        <f t="shared" si="1"/>
        <v>7972389.9999999311</v>
      </c>
      <c r="O5" s="581">
        <v>46205</v>
      </c>
      <c r="P5" s="361">
        <v>0.25</v>
      </c>
      <c r="Q5" s="581">
        <v>46205</v>
      </c>
      <c r="R5" s="371">
        <v>0.66666666666666674</v>
      </c>
      <c r="S5" s="466">
        <f>((INT(Q5) + R5) - (INT(O5) + P5)) * 24</f>
        <v>9.9999999999417923</v>
      </c>
      <c r="T5" s="248">
        <f t="shared" ref="T5:T12" si="4">+IFERROR(N5/K5,0)</f>
        <v>531.4926666666621</v>
      </c>
      <c r="U5" s="242">
        <f>+VLOOKUP(E5,'DINH MUC CHI PHI VH'!$C$4:$K$102,7,0)</f>
        <v>16.666666666666668</v>
      </c>
      <c r="V5" s="242">
        <f>VLOOKUP(E5, 'DINH MUC CHI PHI VH'!$C$4:$N$102, 12, 0) * F5</f>
        <v>7.2866666666666662</v>
      </c>
      <c r="W5" s="242">
        <f>+VLOOKUP(E5,'DINH MUC CHI PHI VH'!$C$4:$K$102,9,0)</f>
        <v>15</v>
      </c>
      <c r="X5" s="242">
        <f>+VLOOKUP(E5,'DINH MUC CHI PHI VH'!$C$4:$K$102,6,0)</f>
        <v>10.78125</v>
      </c>
      <c r="Y5" s="254">
        <f t="shared" si="2"/>
        <v>581.22724999999537</v>
      </c>
      <c r="Z5" s="243">
        <f t="shared" si="3"/>
        <v>8718408.7499999311</v>
      </c>
      <c r="AA5" s="163">
        <f t="shared" ref="AA5:AA9" si="5">+V5*K5</f>
        <v>109299.99999999999</v>
      </c>
      <c r="AB5" s="369">
        <v>0.47916666666666669</v>
      </c>
      <c r="AC5" s="370">
        <v>0.70833333333333337</v>
      </c>
      <c r="AD5" s="255" t="s">
        <v>22</v>
      </c>
      <c r="AE5" s="251"/>
      <c r="AF5" s="252">
        <v>1833</v>
      </c>
      <c r="AG5" s="138" t="str">
        <f>VLOOKUP(E5,'DINH MUC CHI PHI VH'!$C$4:$P$102,14,0)</f>
        <v>VỤN</v>
      </c>
    </row>
    <row r="6" spans="2:33" s="138" customFormat="1" ht="20.25" customHeight="1">
      <c r="B6" s="654"/>
      <c r="C6" s="289">
        <v>46205</v>
      </c>
      <c r="D6" s="146" t="str">
        <f t="shared" si="0"/>
        <v>Thu</v>
      </c>
      <c r="E6" s="136" t="s">
        <v>338</v>
      </c>
      <c r="F6" s="296">
        <v>21860</v>
      </c>
      <c r="G6" s="557">
        <v>0.5</v>
      </c>
      <c r="H6" s="557">
        <v>0.5</v>
      </c>
      <c r="I6" s="539">
        <v>750</v>
      </c>
      <c r="J6" s="254">
        <v>0</v>
      </c>
      <c r="K6" s="242">
        <v>15000</v>
      </c>
      <c r="L6" s="249">
        <v>2572</v>
      </c>
      <c r="M6" s="242">
        <f t="shared" ref="M6:M63" si="6">GIADIEN(P6, R6)</f>
        <v>1946.2222222222179</v>
      </c>
      <c r="N6" s="254">
        <f t="shared" si="1"/>
        <v>5005683.5555555439</v>
      </c>
      <c r="O6" s="581">
        <v>46205</v>
      </c>
      <c r="P6" s="361">
        <v>0.72916666666666685</v>
      </c>
      <c r="Q6" s="581">
        <v>46206</v>
      </c>
      <c r="R6" s="371">
        <v>0.10416666666666666</v>
      </c>
      <c r="S6" s="466">
        <f t="shared" ref="S6:S63" si="7">((INT(Q6) + R6) - (INT(O6) + P6)) * 24</f>
        <v>9</v>
      </c>
      <c r="T6" s="248">
        <f t="shared" si="4"/>
        <v>333.71223703703623</v>
      </c>
      <c r="U6" s="242">
        <f>+VLOOKUP(E6,'DINH MUC CHI PHI VH'!$C$4:$K$102,7,0)</f>
        <v>16.666666666666668</v>
      </c>
      <c r="V6" s="242">
        <f>VLOOKUP(E6, 'DINH MUC CHI PHI VH'!$C$4:$N$102, 12, 0) * F6</f>
        <v>7.2866666666666662</v>
      </c>
      <c r="W6" s="242">
        <f>+VLOOKUP(E6,'DINH MUC CHI PHI VH'!$C$4:$K$102,9,0)</f>
        <v>15</v>
      </c>
      <c r="X6" s="242">
        <f>+VLOOKUP(E6,'DINH MUC CHI PHI VH'!$C$4:$K$102,6,0)</f>
        <v>10.78125</v>
      </c>
      <c r="Y6" s="254">
        <f t="shared" si="2"/>
        <v>383.44682037036961</v>
      </c>
      <c r="Z6" s="243">
        <f t="shared" si="3"/>
        <v>5751702.3055555439</v>
      </c>
      <c r="AA6" s="163">
        <f t="shared" si="5"/>
        <v>109299.99999999999</v>
      </c>
      <c r="AB6" s="369">
        <v>0.70833333333333337</v>
      </c>
      <c r="AC6" s="370">
        <v>0.83333333333333337</v>
      </c>
      <c r="AD6" s="255" t="s">
        <v>21</v>
      </c>
      <c r="AE6" s="251"/>
      <c r="AF6" s="252">
        <v>3398</v>
      </c>
      <c r="AG6" s="138" t="str">
        <f>VLOOKUP(E6,'DINH MUC CHI PHI VH'!$C$4:$P$102,14,0)</f>
        <v>VỤN</v>
      </c>
    </row>
    <row r="7" spans="2:33" s="138" customFormat="1" ht="20.25" customHeight="1">
      <c r="B7" s="654"/>
      <c r="C7" s="915">
        <v>46206</v>
      </c>
      <c r="D7" s="146" t="str">
        <f>TEXT(C7, "DDD")</f>
        <v>Fri</v>
      </c>
      <c r="E7" s="136" t="s">
        <v>338</v>
      </c>
      <c r="F7" s="296">
        <v>21860</v>
      </c>
      <c r="G7" s="557">
        <v>0.5</v>
      </c>
      <c r="H7" s="557">
        <v>0.5</v>
      </c>
      <c r="I7" s="539">
        <v>750</v>
      </c>
      <c r="J7" s="254">
        <v>0</v>
      </c>
      <c r="K7" s="242">
        <v>15000</v>
      </c>
      <c r="L7" s="249">
        <v>2500</v>
      </c>
      <c r="M7" s="242">
        <f>GIADIEN(P7, R7)</f>
        <v>2180.7777777777678</v>
      </c>
      <c r="N7" s="254">
        <f t="shared" si="1"/>
        <v>5451944.4444444198</v>
      </c>
      <c r="O7" s="581">
        <v>46206</v>
      </c>
      <c r="P7" s="361">
        <v>0.1875</v>
      </c>
      <c r="Q7" s="581">
        <v>46206</v>
      </c>
      <c r="R7" s="371">
        <v>0.56249999999999989</v>
      </c>
      <c r="S7" s="466">
        <f t="shared" si="7"/>
        <v>9</v>
      </c>
      <c r="T7" s="248">
        <f t="shared" si="4"/>
        <v>363.46296296296134</v>
      </c>
      <c r="U7" s="242">
        <f>+VLOOKUP(E7,'DINH MUC CHI PHI VH'!$C$4:$K$102,7,0)</f>
        <v>16.666666666666668</v>
      </c>
      <c r="V7" s="242">
        <f>VLOOKUP(E7, 'DINH MUC CHI PHI VH'!$C$4:$N$102, 12, 0) * F7</f>
        <v>7.2866666666666662</v>
      </c>
      <c r="W7" s="242">
        <f>+VLOOKUP(E7,'DINH MUC CHI PHI VH'!$C$4:$K$102,9,0)</f>
        <v>15</v>
      </c>
      <c r="X7" s="242">
        <f>+VLOOKUP(E7,'DINH MUC CHI PHI VH'!$C$4:$K$102,6,0)</f>
        <v>10.78125</v>
      </c>
      <c r="Y7" s="254">
        <f t="shared" si="2"/>
        <v>413.19754629629472</v>
      </c>
      <c r="Z7" s="243">
        <f t="shared" si="3"/>
        <v>6197963.1944444207</v>
      </c>
      <c r="AA7" s="163">
        <f t="shared" si="5"/>
        <v>109299.99999999999</v>
      </c>
      <c r="AB7" s="369">
        <v>0.83333333333333337</v>
      </c>
      <c r="AC7" s="370">
        <v>0.91666666666666663</v>
      </c>
      <c r="AD7" s="255" t="s">
        <v>22</v>
      </c>
      <c r="AE7" s="251"/>
      <c r="AF7" s="252">
        <v>1833</v>
      </c>
      <c r="AG7" s="138" t="str">
        <f>VLOOKUP(E7,'DINH MUC CHI PHI VH'!$C$4:$P$102,14,0)</f>
        <v>VỤN</v>
      </c>
    </row>
    <row r="8" spans="2:33" s="138" customFormat="1" ht="20.25" customHeight="1">
      <c r="B8" s="654"/>
      <c r="C8" s="580">
        <v>46207</v>
      </c>
      <c r="D8" s="146" t="str">
        <f t="shared" si="0"/>
        <v>Sat</v>
      </c>
      <c r="E8" s="136" t="s">
        <v>337</v>
      </c>
      <c r="F8" s="296"/>
      <c r="G8" s="557"/>
      <c r="H8" s="557"/>
      <c r="I8" s="539"/>
      <c r="J8" s="254"/>
      <c r="K8" s="242"/>
      <c r="L8" s="249"/>
      <c r="M8" s="242">
        <f t="shared" si="6"/>
        <v>2145.9999999999814</v>
      </c>
      <c r="N8" s="254">
        <f>+M8*L8</f>
        <v>0</v>
      </c>
      <c r="O8" s="581">
        <v>46208</v>
      </c>
      <c r="P8" s="361">
        <v>0.25</v>
      </c>
      <c r="Q8" s="581">
        <v>46208</v>
      </c>
      <c r="R8" s="371">
        <v>0.66666666666666674</v>
      </c>
      <c r="S8" s="466">
        <f t="shared" si="7"/>
        <v>9.9999999999417923</v>
      </c>
      <c r="T8" s="248">
        <f t="shared" si="4"/>
        <v>0</v>
      </c>
      <c r="U8" s="242">
        <f>+VLOOKUP(E8,'DINH MUC CHI PHI VH'!$C$4:$K$102,7,0)</f>
        <v>9.7207692307692302</v>
      </c>
      <c r="V8" s="242">
        <f>VLOOKUP(E8, 'DINH MUC CHI PHI VH'!$C$4:$N$102, 12, 0) * F8</f>
        <v>0</v>
      </c>
      <c r="W8" s="242">
        <f>+VLOOKUP(E8,'DINH MUC CHI PHI VH'!$C$4:$K$102,9,0)</f>
        <v>15</v>
      </c>
      <c r="X8" s="242">
        <f>+VLOOKUP(E8,'DINH MUC CHI PHI VH'!$C$4:$K$102,6,0)</f>
        <v>27.146527777777781</v>
      </c>
      <c r="Y8" s="254">
        <f t="shared" si="2"/>
        <v>51.867297008547013</v>
      </c>
      <c r="Z8" s="257">
        <f>+Y8*K8</f>
        <v>0</v>
      </c>
      <c r="AA8" s="163">
        <f t="shared" si="5"/>
        <v>0</v>
      </c>
      <c r="AB8" s="369">
        <v>0.91666666666666663</v>
      </c>
      <c r="AC8" s="370">
        <v>0</v>
      </c>
      <c r="AD8" s="255" t="s">
        <v>23</v>
      </c>
      <c r="AE8" s="251"/>
      <c r="AF8" s="252">
        <v>1190</v>
      </c>
      <c r="AG8" s="138" t="str">
        <f>VLOOKUP(E8,'DINH MUC CHI PHI VH'!$C$4:$P$102,14,0)</f>
        <v>ÉP BÁNH</v>
      </c>
    </row>
    <row r="9" spans="2:33" s="138" customFormat="1" ht="20.25" customHeight="1">
      <c r="B9" s="654"/>
      <c r="C9" s="580">
        <v>46208</v>
      </c>
      <c r="D9" s="146" t="str">
        <f t="shared" si="0"/>
        <v>Sun</v>
      </c>
      <c r="E9" s="136" t="s">
        <v>335</v>
      </c>
      <c r="F9" s="296"/>
      <c r="G9" s="557"/>
      <c r="H9" s="557"/>
      <c r="I9" s="539"/>
      <c r="J9" s="254"/>
      <c r="K9" s="242"/>
      <c r="L9" s="249"/>
      <c r="M9" s="242">
        <f t="shared" si="6"/>
        <v>1482.2727272727136</v>
      </c>
      <c r="N9" s="254">
        <f t="shared" si="1"/>
        <v>0</v>
      </c>
      <c r="O9" s="581">
        <v>46209</v>
      </c>
      <c r="P9" s="361">
        <v>0.85416666666666707</v>
      </c>
      <c r="Q9" s="581">
        <v>46209</v>
      </c>
      <c r="R9" s="371">
        <v>0.31249999999999994</v>
      </c>
      <c r="S9" s="466">
        <f t="shared" si="7"/>
        <v>-12.999999999941792</v>
      </c>
      <c r="T9" s="248">
        <f t="shared" si="4"/>
        <v>0</v>
      </c>
      <c r="U9" s="242">
        <f>+VLOOKUP(E9,'DINH MUC CHI PHI VH'!$C$4:$K$102,7,0)</f>
        <v>9.7207692307692302</v>
      </c>
      <c r="V9" s="242">
        <f>VLOOKUP(E9, 'DINH MUC CHI PHI VH'!$C$4:$N$102, 12, 0) * F9</f>
        <v>0</v>
      </c>
      <c r="W9" s="242">
        <f>+VLOOKUP(E9,'DINH MUC CHI PHI VH'!$C$4:$K$102,9,0)</f>
        <v>15</v>
      </c>
      <c r="X9" s="242">
        <f>+VLOOKUP(E9,'DINH MUC CHI PHI VH'!$C$4:$K$102,6,0)</f>
        <v>27.372222222222224</v>
      </c>
      <c r="Y9" s="254">
        <f t="shared" si="2"/>
        <v>52.092991452991456</v>
      </c>
      <c r="Z9" s="257">
        <f>+Y9*K9</f>
        <v>0</v>
      </c>
      <c r="AA9" s="163">
        <f t="shared" si="5"/>
        <v>0</v>
      </c>
      <c r="AB9" s="451">
        <v>0</v>
      </c>
      <c r="AC9" s="452">
        <v>0.16666666666666666</v>
      </c>
      <c r="AD9" s="453" t="s">
        <v>23</v>
      </c>
      <c r="AE9" s="454"/>
      <c r="AF9" s="455">
        <v>1190</v>
      </c>
      <c r="AG9" s="138" t="str">
        <f>VLOOKUP(E9,'DINH MUC CHI PHI VH'!$C$4:$P$102,14,0)</f>
        <v>ÉP BÁNH</v>
      </c>
    </row>
    <row r="10" spans="2:33" s="138" customFormat="1" ht="20.25" customHeight="1">
      <c r="B10" s="654"/>
      <c r="C10" s="580">
        <v>46209</v>
      </c>
      <c r="D10" s="288" t="str">
        <f t="shared" si="0"/>
        <v>Mon</v>
      </c>
      <c r="E10" s="377" t="s">
        <v>335</v>
      </c>
      <c r="F10" s="450"/>
      <c r="G10" s="558"/>
      <c r="H10" s="558"/>
      <c r="I10" s="540"/>
      <c r="J10" s="216"/>
      <c r="K10" s="286">
        <v>55000</v>
      </c>
      <c r="L10" s="250"/>
      <c r="M10" s="286">
        <f t="shared" si="6"/>
        <v>2173.8999999999764</v>
      </c>
      <c r="N10" s="216">
        <f>+M10*L10</f>
        <v>0</v>
      </c>
      <c r="O10" s="581">
        <v>46210</v>
      </c>
      <c r="P10" s="375">
        <v>0.58333333333333326</v>
      </c>
      <c r="Q10" s="581">
        <v>46210</v>
      </c>
      <c r="R10" s="376">
        <v>0</v>
      </c>
      <c r="S10" s="467">
        <f t="shared" si="7"/>
        <v>-14.000000000058208</v>
      </c>
      <c r="T10" s="248">
        <f t="shared" si="4"/>
        <v>0</v>
      </c>
      <c r="U10" s="286">
        <f>+VLOOKUP(E10,'DINH MUC CHI PHI VH'!$C$4:$K$102,7,0)</f>
        <v>9.7207692307692302</v>
      </c>
      <c r="V10" s="286">
        <f>VLOOKUP(E10, 'DINH MUC CHI PHI VH'!$C$4:$N$102, 12, 0) * F10</f>
        <v>0</v>
      </c>
      <c r="W10" s="286">
        <f>+VLOOKUP(E10,'DINH MUC CHI PHI VH'!$C$4:$K$102,9,0)</f>
        <v>15</v>
      </c>
      <c r="X10" s="286">
        <f>+VLOOKUP(E10,'DINH MUC CHI PHI VH'!$C$4:$K$102,6,0)</f>
        <v>27.372222222222224</v>
      </c>
      <c r="Y10" s="216">
        <f t="shared" si="2"/>
        <v>52.092991452991456</v>
      </c>
      <c r="Z10" s="287">
        <f t="shared" si="3"/>
        <v>2865114.52991453</v>
      </c>
      <c r="AA10" s="400">
        <f t="shared" ref="AA10:AA12" si="8">+U10*K10</f>
        <v>534642.30769230763</v>
      </c>
      <c r="AB10" s="456">
        <v>0.16666666666666666</v>
      </c>
      <c r="AC10" s="457">
        <v>0.39583333333333331</v>
      </c>
      <c r="AD10" s="458" t="s">
        <v>22</v>
      </c>
      <c r="AE10" s="263"/>
      <c r="AF10" s="181">
        <v>1833</v>
      </c>
      <c r="AG10" s="138" t="str">
        <f>VLOOKUP(E10,'DINH MUC CHI PHI VH'!$C$4:$P$102,14,0)</f>
        <v>ÉP BÁNH</v>
      </c>
    </row>
    <row r="11" spans="2:33" s="138" customFormat="1" ht="20.25" customHeight="1">
      <c r="B11" s="654"/>
      <c r="C11" s="580">
        <v>46209</v>
      </c>
      <c r="D11" s="304" t="str">
        <f t="shared" si="0"/>
        <v>Mon</v>
      </c>
      <c r="E11" s="384" t="s">
        <v>365</v>
      </c>
      <c r="F11" s="306"/>
      <c r="G11" s="559"/>
      <c r="H11" s="559"/>
      <c r="I11" s="541"/>
      <c r="J11" s="305"/>
      <c r="K11" s="305">
        <v>15000</v>
      </c>
      <c r="L11" s="305"/>
      <c r="M11" s="305">
        <f t="shared" si="6"/>
        <v>2049.5499999999961</v>
      </c>
      <c r="N11" s="305">
        <f t="shared" si="1"/>
        <v>0</v>
      </c>
      <c r="O11" s="581">
        <v>46211</v>
      </c>
      <c r="P11" s="386">
        <v>0.10416666666666666</v>
      </c>
      <c r="Q11" s="581">
        <v>46211</v>
      </c>
      <c r="R11" s="387">
        <v>0.52083333333333315</v>
      </c>
      <c r="S11" s="468">
        <f t="shared" si="7"/>
        <v>10.000000000116415</v>
      </c>
      <c r="T11" s="248">
        <f t="shared" si="4"/>
        <v>0</v>
      </c>
      <c r="U11" s="305">
        <f>+VLOOKUP(E11,'DINH MUC CHI PHI VH'!$C$4:$K$102,7,0)</f>
        <v>31.066666666666666</v>
      </c>
      <c r="V11" s="305">
        <f>VLOOKUP(E11, 'DINH MUC CHI PHI VH'!$C$4:$N$102, 12, 0) * F11</f>
        <v>0</v>
      </c>
      <c r="W11" s="305">
        <f>+VLOOKUP(E11,'DINH MUC CHI PHI VH'!$C$4:$K$102,9,0)</f>
        <v>15</v>
      </c>
      <c r="X11" s="305">
        <f>+VLOOKUP(E11,'DINH MUC CHI PHI VH'!$C$4:$K$102,6,0)</f>
        <v>5.770833333333333</v>
      </c>
      <c r="Y11" s="305">
        <f>SUM(T11:X11)</f>
        <v>51.837499999999999</v>
      </c>
      <c r="Z11" s="389">
        <f t="shared" si="3"/>
        <v>777562.5</v>
      </c>
      <c r="AA11" s="400">
        <f t="shared" si="8"/>
        <v>466000</v>
      </c>
      <c r="AB11" s="459"/>
      <c r="AC11" s="460"/>
      <c r="AD11" s="458"/>
      <c r="AE11" s="263">
        <f>+SUM(AE4:AE10)</f>
        <v>0</v>
      </c>
      <c r="AF11" s="181"/>
      <c r="AG11" s="138" t="str">
        <f>VLOOKUP(E11,'DINH MUC CHI PHI VH'!$C$4:$P$102,14,0)</f>
        <v>BAZO</v>
      </c>
    </row>
    <row r="12" spans="2:33" s="138" customFormat="1" ht="20.25" customHeight="1" thickBot="1">
      <c r="B12" s="654"/>
      <c r="C12" s="580">
        <v>46210</v>
      </c>
      <c r="D12" s="476" t="str">
        <f t="shared" si="0"/>
        <v>Tue</v>
      </c>
      <c r="E12" s="477" t="s">
        <v>335</v>
      </c>
      <c r="F12" s="478"/>
      <c r="G12" s="560"/>
      <c r="H12" s="560"/>
      <c r="I12" s="542"/>
      <c r="J12" s="479"/>
      <c r="K12" s="479">
        <v>55000</v>
      </c>
      <c r="L12" s="479"/>
      <c r="M12" s="479">
        <f t="shared" si="6"/>
        <v>1870.5999999999888</v>
      </c>
      <c r="N12" s="479">
        <f t="shared" si="1"/>
        <v>0</v>
      </c>
      <c r="O12" s="581">
        <v>46212</v>
      </c>
      <c r="P12" s="480">
        <v>0.72916666666666685</v>
      </c>
      <c r="Q12" s="581">
        <v>46212</v>
      </c>
      <c r="R12" s="481">
        <v>0.14583333333333331</v>
      </c>
      <c r="S12" s="491">
        <f t="shared" si="7"/>
        <v>-13.999999999883585</v>
      </c>
      <c r="T12" s="534">
        <f t="shared" si="4"/>
        <v>0</v>
      </c>
      <c r="U12" s="479">
        <f>+VLOOKUP(E12,'DINH MUC CHI PHI VH'!$C$4:$K$102,7,0)</f>
        <v>9.7207692307692302</v>
      </c>
      <c r="V12" s="479">
        <f>VLOOKUP(E12, 'DINH MUC CHI PHI VH'!$C$4:$N$102, 12, 0) * F12</f>
        <v>0</v>
      </c>
      <c r="W12" s="479">
        <f>+VLOOKUP(E12,'DINH MUC CHI PHI VH'!$C$4:$K$102,9,0)</f>
        <v>15</v>
      </c>
      <c r="X12" s="479">
        <f>+VLOOKUP(E12,'DINH MUC CHI PHI VH'!$C$4:$K$102,6,0)</f>
        <v>27.372222222222224</v>
      </c>
      <c r="Y12" s="479">
        <f>SUM(T12:X12)</f>
        <v>52.092991452991456</v>
      </c>
      <c r="Z12" s="402">
        <f>+Y12*K12</f>
        <v>2865114.52991453</v>
      </c>
      <c r="AA12" s="400">
        <f t="shared" si="8"/>
        <v>534642.30769230763</v>
      </c>
      <c r="AB12" s="461"/>
      <c r="AC12" s="462"/>
      <c r="AD12" s="463"/>
      <c r="AE12" s="464" t="s">
        <v>24</v>
      </c>
      <c r="AF12" s="465" t="e">
        <f>SUMPRODUCT(AF4:AF9,AE4:AE9)/SUM(AE4:AE9)</f>
        <v>#DIV/0!</v>
      </c>
      <c r="AG12" s="138" t="str">
        <f>VLOOKUP(E12,'DINH MUC CHI PHI VH'!$C$4:$P$102,14,0)</f>
        <v>ÉP BÁNH</v>
      </c>
    </row>
    <row r="13" spans="2:33" s="138" customFormat="1" ht="20.25" customHeight="1">
      <c r="B13" s="655" t="s">
        <v>392</v>
      </c>
      <c r="C13" s="580">
        <v>46210</v>
      </c>
      <c r="D13" s="347" t="str">
        <f t="shared" si="0"/>
        <v>Tue</v>
      </c>
      <c r="E13" s="403" t="s">
        <v>365</v>
      </c>
      <c r="F13" s="475"/>
      <c r="G13" s="561"/>
      <c r="H13" s="561"/>
      <c r="I13" s="349"/>
      <c r="J13" s="349"/>
      <c r="K13" s="349">
        <v>15000</v>
      </c>
      <c r="L13" s="349"/>
      <c r="M13" s="349">
        <f t="shared" si="6"/>
        <v>1447.1999999999844</v>
      </c>
      <c r="N13" s="349">
        <f t="shared" si="1"/>
        <v>0</v>
      </c>
      <c r="O13" s="581">
        <v>46213</v>
      </c>
      <c r="P13" s="404">
        <v>0.87500000000000044</v>
      </c>
      <c r="Q13" s="581">
        <v>46213</v>
      </c>
      <c r="R13" s="405">
        <v>0.29166666666666663</v>
      </c>
      <c r="S13" s="406">
        <f t="shared" si="7"/>
        <v>-14.000000000058208</v>
      </c>
      <c r="T13" s="349">
        <f>+IFERROR(N13/K13,0)</f>
        <v>0</v>
      </c>
      <c r="U13" s="349">
        <f>+VLOOKUP(E13,'DINH MUC CHI PHI VH'!$C$4:$K$102,7,0)</f>
        <v>31.066666666666666</v>
      </c>
      <c r="V13" s="349">
        <f>VLOOKUP(E13, 'DINH MUC CHI PHI VH'!$C$4:$N$102, 12, 0) * F13</f>
        <v>0</v>
      </c>
      <c r="W13" s="349">
        <f>+VLOOKUP(E13,'DINH MUC CHI PHI VH'!$C$4:$K$102,9,0)</f>
        <v>15</v>
      </c>
      <c r="X13" s="349">
        <f>+VLOOKUP(E13,'DINH MUC CHI PHI VH'!$C$4:$K$102,6,0)</f>
        <v>5.770833333333333</v>
      </c>
      <c r="Y13" s="349">
        <f t="shared" ref="Y13" si="9">SUM(T13:X13)</f>
        <v>51.837499999999999</v>
      </c>
      <c r="Z13" s="401">
        <f t="shared" si="3"/>
        <v>777562.5</v>
      </c>
      <c r="AA13" s="163"/>
      <c r="AB13" s="345"/>
      <c r="AC13" s="346"/>
      <c r="AD13" s="215"/>
      <c r="AF13" s="163"/>
      <c r="AG13" s="138" t="str">
        <f>VLOOKUP(E13,'DINH MUC CHI PHI VH'!$C$4:$P$102,14,0)</f>
        <v>BAZO</v>
      </c>
    </row>
    <row r="14" spans="2:33" s="138" customFormat="1" ht="20.25" customHeight="1">
      <c r="B14" s="656"/>
      <c r="C14" s="580">
        <v>46211</v>
      </c>
      <c r="D14" s="304" t="str">
        <f t="shared" si="0"/>
        <v>Wed</v>
      </c>
      <c r="E14" s="384" t="s">
        <v>335</v>
      </c>
      <c r="F14" s="306"/>
      <c r="G14" s="562"/>
      <c r="H14" s="562"/>
      <c r="I14" s="305"/>
      <c r="J14" s="305"/>
      <c r="K14" s="305">
        <v>55000</v>
      </c>
      <c r="L14" s="305"/>
      <c r="M14" s="305">
        <f t="shared" si="6"/>
        <v>2322.0624999999886</v>
      </c>
      <c r="N14" s="305">
        <f t="shared" si="1"/>
        <v>0</v>
      </c>
      <c r="O14" s="581">
        <v>46214</v>
      </c>
      <c r="P14" s="386">
        <v>0.41666666666666652</v>
      </c>
      <c r="Q14" s="581">
        <v>46214</v>
      </c>
      <c r="R14" s="387">
        <v>0.75000000000000022</v>
      </c>
      <c r="S14" s="388">
        <f t="shared" si="7"/>
        <v>8.0000000000582077</v>
      </c>
      <c r="T14" s="349">
        <f t="shared" ref="T14:T63" si="10">+IFERROR(N14/K14,0)</f>
        <v>0</v>
      </c>
      <c r="U14" s="305">
        <f>+VLOOKUP(E14,'DINH MUC CHI PHI VH'!$C$4:$K$102,7,0)</f>
        <v>9.7207692307692302</v>
      </c>
      <c r="V14" s="305">
        <f>VLOOKUP(E14, 'DINH MUC CHI PHI VH'!$C$4:$N$102, 12, 0) * F14</f>
        <v>0</v>
      </c>
      <c r="W14" s="305">
        <f>+VLOOKUP(E14,'DINH MUC CHI PHI VH'!$C$4:$K$102,9,0)</f>
        <v>15</v>
      </c>
      <c r="X14" s="305">
        <f>+VLOOKUP(E14,'DINH MUC CHI PHI VH'!$C$4:$K$102,6,0)</f>
        <v>27.372222222222224</v>
      </c>
      <c r="Y14" s="305">
        <f t="shared" ref="Y14:Y16" si="11">SUM(T14:X14)</f>
        <v>52.092991452991456</v>
      </c>
      <c r="Z14" s="389">
        <f t="shared" si="3"/>
        <v>2865114.52991453</v>
      </c>
      <c r="AA14" s="163"/>
      <c r="AB14" s="345"/>
      <c r="AC14" s="346"/>
      <c r="AD14" s="215"/>
      <c r="AF14" s="163"/>
      <c r="AG14" s="138" t="str">
        <f>VLOOKUP(E14,'DINH MUC CHI PHI VH'!$C$4:$P$102,14,0)</f>
        <v>ÉP BÁNH</v>
      </c>
    </row>
    <row r="15" spans="2:33" s="138" customFormat="1" ht="20.25" customHeight="1" thickBot="1">
      <c r="B15" s="657"/>
      <c r="C15" s="580">
        <v>46211</v>
      </c>
      <c r="D15" s="476" t="str">
        <f t="shared" si="0"/>
        <v>Wed</v>
      </c>
      <c r="E15" s="477" t="s">
        <v>338</v>
      </c>
      <c r="F15" s="478"/>
      <c r="G15" s="563"/>
      <c r="H15" s="563"/>
      <c r="I15" s="479"/>
      <c r="J15" s="479"/>
      <c r="K15" s="479">
        <v>15000</v>
      </c>
      <c r="L15" s="479"/>
      <c r="M15" s="479">
        <f t="shared" si="6"/>
        <v>1681.9500000000196</v>
      </c>
      <c r="N15" s="479">
        <f t="shared" si="1"/>
        <v>0</v>
      </c>
      <c r="O15" s="581">
        <v>46215</v>
      </c>
      <c r="P15" s="480">
        <v>0.77083333333333359</v>
      </c>
      <c r="Q15" s="581">
        <v>46215</v>
      </c>
      <c r="R15" s="481">
        <v>0.1875</v>
      </c>
      <c r="S15" s="482">
        <f t="shared" si="7"/>
        <v>-14.000000000058208</v>
      </c>
      <c r="T15" s="393">
        <f t="shared" si="10"/>
        <v>0</v>
      </c>
      <c r="U15" s="479">
        <f>+VLOOKUP(E15,'DINH MUC CHI PHI VH'!$C$4:$K$102,7,0)</f>
        <v>16.666666666666668</v>
      </c>
      <c r="V15" s="479">
        <f>VLOOKUP(E15, 'DINH MUC CHI PHI VH'!$C$4:$N$102, 12, 0) * F15</f>
        <v>0</v>
      </c>
      <c r="W15" s="479">
        <f>+VLOOKUP(E15,'DINH MUC CHI PHI VH'!$C$4:$K$102,9,0)</f>
        <v>15</v>
      </c>
      <c r="X15" s="479">
        <f>+VLOOKUP(E15,'DINH MUC CHI PHI VH'!$C$4:$K$102,6,0)</f>
        <v>10.78125</v>
      </c>
      <c r="Y15" s="479">
        <f t="shared" si="11"/>
        <v>42.447916666666671</v>
      </c>
      <c r="Z15" s="402">
        <f t="shared" si="3"/>
        <v>636718.75000000012</v>
      </c>
      <c r="AA15" s="163"/>
      <c r="AB15" s="345"/>
      <c r="AC15" s="346"/>
      <c r="AD15" s="215"/>
      <c r="AF15" s="163"/>
      <c r="AG15" s="138" t="str">
        <f>VLOOKUP(E15,'DINH MUC CHI PHI VH'!$C$4:$P$102,14,0)</f>
        <v>VỤN</v>
      </c>
    </row>
    <row r="16" spans="2:33" s="138" customFormat="1" ht="20.25" customHeight="1">
      <c r="B16" s="655" t="s">
        <v>404</v>
      </c>
      <c r="C16" s="580">
        <v>46212</v>
      </c>
      <c r="D16" s="347" t="str">
        <f t="shared" si="0"/>
        <v>Thu</v>
      </c>
      <c r="E16" s="403" t="s">
        <v>335</v>
      </c>
      <c r="F16" s="475"/>
      <c r="G16" s="561"/>
      <c r="H16" s="561"/>
      <c r="I16" s="349"/>
      <c r="J16" s="349"/>
      <c r="K16" s="349">
        <v>55000</v>
      </c>
      <c r="L16" s="349"/>
      <c r="M16" s="349">
        <f t="shared" si="6"/>
        <v>1837.9545454545298</v>
      </c>
      <c r="N16" s="349">
        <f t="shared" si="1"/>
        <v>0</v>
      </c>
      <c r="O16" s="581">
        <v>46216</v>
      </c>
      <c r="P16" s="404">
        <v>0.72916666666666685</v>
      </c>
      <c r="Q16" s="581">
        <v>46216</v>
      </c>
      <c r="R16" s="405">
        <v>0.1875</v>
      </c>
      <c r="S16" s="406">
        <f t="shared" si="7"/>
        <v>-12.999999999941792</v>
      </c>
      <c r="T16" s="349">
        <f t="shared" si="10"/>
        <v>0</v>
      </c>
      <c r="U16" s="349">
        <f>+VLOOKUP(E16,'DINH MUC CHI PHI VH'!$C$4:$K$102,7,0)</f>
        <v>9.7207692307692302</v>
      </c>
      <c r="V16" s="349">
        <f>VLOOKUP(E16, 'DINH MUC CHI PHI VH'!$C$4:$N$102, 12, 0) * F16</f>
        <v>0</v>
      </c>
      <c r="W16" s="349">
        <f>+VLOOKUP(E16,'DINH MUC CHI PHI VH'!$C$4:$K$102,9,0)</f>
        <v>15</v>
      </c>
      <c r="X16" s="349">
        <f>+VLOOKUP(E16,'DINH MUC CHI PHI VH'!$C$4:$K$102,6,0)</f>
        <v>27.372222222222224</v>
      </c>
      <c r="Y16" s="349">
        <f t="shared" si="11"/>
        <v>52.092991452991456</v>
      </c>
      <c r="Z16" s="401">
        <f t="shared" si="3"/>
        <v>2865114.52991453</v>
      </c>
      <c r="AA16" s="163"/>
      <c r="AB16" s="345"/>
      <c r="AC16" s="346"/>
      <c r="AD16" s="215"/>
      <c r="AF16" s="163"/>
      <c r="AG16" s="138" t="str">
        <f>VLOOKUP(E16,'DINH MUC CHI PHI VH'!$C$4:$P$102,14,0)</f>
        <v>ÉP BÁNH</v>
      </c>
    </row>
    <row r="17" spans="2:33" s="138" customFormat="1" ht="20.25" customHeight="1">
      <c r="B17" s="656"/>
      <c r="C17" s="580">
        <v>46212</v>
      </c>
      <c r="D17" s="304" t="str">
        <f t="shared" si="0"/>
        <v>Thu</v>
      </c>
      <c r="E17" s="384" t="s">
        <v>338</v>
      </c>
      <c r="F17" s="306"/>
      <c r="G17" s="562"/>
      <c r="H17" s="562"/>
      <c r="I17" s="305"/>
      <c r="J17" s="305"/>
      <c r="K17" s="305">
        <v>15000</v>
      </c>
      <c r="L17" s="305"/>
      <c r="M17" s="305">
        <f t="shared" si="6"/>
        <v>2145.9999999999814</v>
      </c>
      <c r="N17" s="305">
        <f t="shared" si="1"/>
        <v>0</v>
      </c>
      <c r="O17" s="581">
        <v>46217</v>
      </c>
      <c r="P17" s="386">
        <v>0.25</v>
      </c>
      <c r="Q17" s="581">
        <v>46217</v>
      </c>
      <c r="R17" s="387">
        <v>0.66666666666666674</v>
      </c>
      <c r="S17" s="388">
        <f t="shared" si="7"/>
        <v>9.9999999999417923</v>
      </c>
      <c r="T17" s="349">
        <f t="shared" si="10"/>
        <v>0</v>
      </c>
      <c r="U17" s="305">
        <f>+VLOOKUP(E17,'DINH MUC CHI PHI VH'!$C$4:$K$102,7,0)</f>
        <v>16.666666666666668</v>
      </c>
      <c r="V17" s="305">
        <f>VLOOKUP(E17, 'DINH MUC CHI PHI VH'!$C$4:$N$102, 12, 0) * F17</f>
        <v>0</v>
      </c>
      <c r="W17" s="305">
        <f>+VLOOKUP(E17,'DINH MUC CHI PHI VH'!$C$4:$K$102,9,0)</f>
        <v>15</v>
      </c>
      <c r="X17" s="305">
        <f>+VLOOKUP(E17,'DINH MUC CHI PHI VH'!$C$4:$K$102,6,0)</f>
        <v>10.78125</v>
      </c>
      <c r="Y17" s="305">
        <f t="shared" ref="Y17" si="12">SUM(T17:X17)</f>
        <v>42.447916666666671</v>
      </c>
      <c r="Z17" s="389">
        <f t="shared" si="3"/>
        <v>636718.75000000012</v>
      </c>
      <c r="AA17" s="163"/>
      <c r="AB17" s="345"/>
      <c r="AC17" s="346"/>
      <c r="AD17" s="215"/>
      <c r="AF17" s="163"/>
      <c r="AG17" s="138" t="str">
        <f>VLOOKUP(E17,'DINH MUC CHI PHI VH'!$C$4:$P$102,14,0)</f>
        <v>VỤN</v>
      </c>
    </row>
    <row r="18" spans="2:33" s="138" customFormat="1" ht="20.25" customHeight="1">
      <c r="B18" s="656"/>
      <c r="C18" s="580">
        <v>46213</v>
      </c>
      <c r="D18" s="347" t="str">
        <f t="shared" si="0"/>
        <v>Fri</v>
      </c>
      <c r="E18" s="403" t="s">
        <v>335</v>
      </c>
      <c r="F18" s="475"/>
      <c r="G18" s="561"/>
      <c r="H18" s="561"/>
      <c r="I18" s="349"/>
      <c r="J18" s="349"/>
      <c r="K18" s="349">
        <v>55000</v>
      </c>
      <c r="L18" s="349"/>
      <c r="M18" s="349">
        <f t="shared" si="6"/>
        <v>1766.8181818181824</v>
      </c>
      <c r="N18" s="349">
        <f>+M18*L18</f>
        <v>0</v>
      </c>
      <c r="O18" s="581">
        <v>46218</v>
      </c>
      <c r="P18" s="404">
        <v>0.75000000000000022</v>
      </c>
      <c r="Q18" s="581">
        <v>46218</v>
      </c>
      <c r="R18" s="405">
        <v>0.20833333333333334</v>
      </c>
      <c r="S18" s="406">
        <f t="shared" si="7"/>
        <v>-12.999999999941792</v>
      </c>
      <c r="T18" s="349">
        <f t="shared" si="10"/>
        <v>0</v>
      </c>
      <c r="U18" s="349">
        <f>+VLOOKUP(E18,'DINH MUC CHI PHI VH'!$C$4:$K$102,7,0)</f>
        <v>9.7207692307692302</v>
      </c>
      <c r="V18" s="349">
        <f>VLOOKUP(E18, 'DINH MUC CHI PHI VH'!$C$4:$N$102, 12, 0) * F18</f>
        <v>0</v>
      </c>
      <c r="W18" s="349">
        <f>+VLOOKUP(E18,'DINH MUC CHI PHI VH'!$C$4:$K$102,9,0)</f>
        <v>15</v>
      </c>
      <c r="X18" s="349">
        <f>+VLOOKUP(E18,'DINH MUC CHI PHI VH'!$C$4:$K$102,6,0)</f>
        <v>27.372222222222224</v>
      </c>
      <c r="Y18" s="349">
        <f t="shared" ref="Y18:Y19" si="13">SUM(T18:W18)</f>
        <v>24.720769230769228</v>
      </c>
      <c r="Z18" s="401">
        <f t="shared" si="3"/>
        <v>1359642.3076923075</v>
      </c>
      <c r="AA18" s="163"/>
      <c r="AB18" s="345"/>
      <c r="AC18" s="346"/>
      <c r="AD18" s="215"/>
      <c r="AF18" s="163"/>
      <c r="AG18" s="138" t="str">
        <f>VLOOKUP(E18,'DINH MUC CHI PHI VH'!$C$4:$P$102,14,0)</f>
        <v>ÉP BÁNH</v>
      </c>
    </row>
    <row r="19" spans="2:33" s="138" customFormat="1" ht="20.25" customHeight="1">
      <c r="B19" s="656"/>
      <c r="C19" s="580">
        <v>46213</v>
      </c>
      <c r="D19" s="485" t="str">
        <f t="shared" ref="D19:D24" si="14">TEXT(C19, "DDD")</f>
        <v>Fri</v>
      </c>
      <c r="E19" s="384" t="s">
        <v>366</v>
      </c>
      <c r="F19" s="385"/>
      <c r="G19" s="562"/>
      <c r="H19" s="562"/>
      <c r="I19" s="305"/>
      <c r="J19" s="305"/>
      <c r="K19" s="305">
        <v>20000</v>
      </c>
      <c r="L19" s="305"/>
      <c r="M19" s="305">
        <f t="shared" si="6"/>
        <v>2180.7777777777528</v>
      </c>
      <c r="N19" s="305">
        <f t="shared" ref="N19:N63" si="15">+M19*L19</f>
        <v>0</v>
      </c>
      <c r="O19" s="581">
        <v>46219</v>
      </c>
      <c r="P19" s="386">
        <v>0.31249999999999994</v>
      </c>
      <c r="Q19" s="581">
        <v>46219</v>
      </c>
      <c r="R19" s="387">
        <v>0.68750000000000011</v>
      </c>
      <c r="S19" s="388">
        <f t="shared" si="7"/>
        <v>9</v>
      </c>
      <c r="T19" s="349">
        <f t="shared" si="10"/>
        <v>0</v>
      </c>
      <c r="U19" s="305">
        <f>+VLOOKUP(E19,'DINH MUC CHI PHI VH'!$C$4:$K$102,7,0)</f>
        <v>23.913043478260871</v>
      </c>
      <c r="V19" s="305">
        <f>VLOOKUP(E19, 'DINH MUC CHI PHI VH'!$C$4:$N$102, 12, 0) * F19</f>
        <v>0</v>
      </c>
      <c r="W19" s="305">
        <f>+VLOOKUP(E19,'DINH MUC CHI PHI VH'!$C$4:$K$102,9,0)</f>
        <v>15</v>
      </c>
      <c r="X19" s="305">
        <f>+VLOOKUP(E19,'DINH MUC CHI PHI VH'!$C$4:$K$102,6,0)</f>
        <v>8.5052083333333339</v>
      </c>
      <c r="Y19" s="305">
        <f t="shared" si="13"/>
        <v>38.913043478260875</v>
      </c>
      <c r="Z19" s="389">
        <f t="shared" si="3"/>
        <v>778260.86956521752</v>
      </c>
      <c r="AA19" s="163"/>
      <c r="AB19" s="345"/>
      <c r="AC19" s="346"/>
      <c r="AD19" s="215"/>
      <c r="AF19" s="163"/>
      <c r="AG19" s="138" t="str">
        <f>VLOOKUP(E19,'DINH MUC CHI PHI VH'!$C$4:$P$102,14,0)</f>
        <v>VỤN</v>
      </c>
    </row>
    <row r="20" spans="2:33" s="138" customFormat="1" ht="20.25" customHeight="1">
      <c r="B20" s="656"/>
      <c r="C20" s="582">
        <v>46214</v>
      </c>
      <c r="D20" s="485" t="str">
        <f t="shared" si="14"/>
        <v>Sat</v>
      </c>
      <c r="E20" s="384" t="s">
        <v>181</v>
      </c>
      <c r="F20" s="385"/>
      <c r="G20" s="562"/>
      <c r="H20" s="562"/>
      <c r="I20" s="305"/>
      <c r="J20" s="305"/>
      <c r="K20" s="305">
        <v>0</v>
      </c>
      <c r="L20" s="305"/>
      <c r="M20" s="305">
        <f t="shared" si="6"/>
        <v>1603.7000000000144</v>
      </c>
      <c r="N20" s="305">
        <f t="shared" si="15"/>
        <v>0</v>
      </c>
      <c r="O20" s="581">
        <v>46220</v>
      </c>
      <c r="P20" s="386">
        <v>0.79166666666666696</v>
      </c>
      <c r="Q20" s="581">
        <v>46220</v>
      </c>
      <c r="R20" s="387">
        <v>0.20833333333333334</v>
      </c>
      <c r="S20" s="388">
        <f t="shared" si="7"/>
        <v>-13.999999999883585</v>
      </c>
      <c r="T20" s="349">
        <f t="shared" si="10"/>
        <v>0</v>
      </c>
      <c r="U20" s="305">
        <f>+VLOOKUP(E20,'DINH MUC CHI PHI VH'!$C$4:$K$102,7,0)</f>
        <v>0</v>
      </c>
      <c r="V20" s="305">
        <f>VLOOKUP(E20, 'DINH MUC CHI PHI VH'!$C$4:$N$102, 12, 0) * F20</f>
        <v>0</v>
      </c>
      <c r="W20" s="305">
        <f>+VLOOKUP(E20,'DINH MUC CHI PHI VH'!$C$4:$K$102,9,0)</f>
        <v>0</v>
      </c>
      <c r="X20" s="305">
        <f>+VLOOKUP(E20,'DINH MUC CHI PHI VH'!$C$4:$K$102,6,0)</f>
        <v>0</v>
      </c>
      <c r="Y20" s="305">
        <f t="shared" ref="Y20:Y29" si="16">SUM(T20:X20)</f>
        <v>0</v>
      </c>
      <c r="Z20" s="389">
        <f t="shared" si="3"/>
        <v>0</v>
      </c>
      <c r="AA20" s="163"/>
      <c r="AB20" s="345"/>
      <c r="AC20" s="346"/>
      <c r="AD20" s="215"/>
      <c r="AF20" s="163"/>
      <c r="AG20" s="138" t="str">
        <f>VLOOKUP(E20,'DINH MUC CHI PHI VH'!$C$4:$P$102,14,0)</f>
        <v>BẢO TRÌ</v>
      </c>
    </row>
    <row r="21" spans="2:33" s="138" customFormat="1" ht="20.25" customHeight="1">
      <c r="B21" s="656"/>
      <c r="C21" s="580">
        <v>46214</v>
      </c>
      <c r="D21" s="504" t="str">
        <f t="shared" si="14"/>
        <v>Sat</v>
      </c>
      <c r="E21" s="408" t="s">
        <v>366</v>
      </c>
      <c r="F21" s="409"/>
      <c r="G21" s="555"/>
      <c r="H21" s="555"/>
      <c r="I21" s="410"/>
      <c r="J21" s="410"/>
      <c r="K21" s="410">
        <v>20000</v>
      </c>
      <c r="L21" s="410"/>
      <c r="M21" s="410">
        <f t="shared" si="6"/>
        <v>1681.9500000000196</v>
      </c>
      <c r="N21" s="410">
        <f t="shared" si="15"/>
        <v>0</v>
      </c>
      <c r="O21" s="581">
        <v>46221</v>
      </c>
      <c r="P21" s="411">
        <v>0.77083333333333359</v>
      </c>
      <c r="Q21" s="581">
        <v>46221</v>
      </c>
      <c r="R21" s="412">
        <v>0.1875</v>
      </c>
      <c r="S21" s="413">
        <f t="shared" si="7"/>
        <v>-14.000000000058208</v>
      </c>
      <c r="T21" s="349">
        <f t="shared" si="10"/>
        <v>0</v>
      </c>
      <c r="U21" s="410">
        <f>+VLOOKUP(E21,'DINH MUC CHI PHI VH'!$C$4:$K$102,7,0)</f>
        <v>23.913043478260871</v>
      </c>
      <c r="V21" s="410">
        <f>VLOOKUP(E21, 'DINH MUC CHI PHI VH'!$C$4:$N$102, 12, 0) * F21</f>
        <v>0</v>
      </c>
      <c r="W21" s="410">
        <f>+VLOOKUP(E21,'DINH MUC CHI PHI VH'!$C$4:$K$102,9,0)</f>
        <v>15</v>
      </c>
      <c r="X21" s="410">
        <f>+VLOOKUP(E21,'DINH MUC CHI PHI VH'!$C$4:$K$102,6,0)</f>
        <v>8.5052083333333339</v>
      </c>
      <c r="Y21" s="410">
        <f t="shared" si="16"/>
        <v>47.41825181159421</v>
      </c>
      <c r="Z21" s="414">
        <f t="shared" si="3"/>
        <v>948365.03623188415</v>
      </c>
      <c r="AA21" s="163"/>
      <c r="AB21" s="345"/>
      <c r="AC21" s="346"/>
      <c r="AD21" s="215"/>
      <c r="AF21" s="163"/>
      <c r="AG21" s="138" t="str">
        <f>VLOOKUP(E21,'DINH MUC CHI PHI VH'!$C$4:$P$102,14,0)</f>
        <v>VỤN</v>
      </c>
    </row>
    <row r="22" spans="2:33" s="138" customFormat="1" ht="20.25" customHeight="1" thickBot="1">
      <c r="B22" s="657"/>
      <c r="C22" s="580">
        <v>46215</v>
      </c>
      <c r="D22" s="503" t="str">
        <f t="shared" si="14"/>
        <v>Sun</v>
      </c>
      <c r="E22" s="391" t="s">
        <v>335</v>
      </c>
      <c r="F22" s="392"/>
      <c r="G22" s="564"/>
      <c r="H22" s="564"/>
      <c r="I22" s="393"/>
      <c r="J22" s="393"/>
      <c r="K22" s="393">
        <v>55000</v>
      </c>
      <c r="L22" s="393"/>
      <c r="M22" s="393">
        <f t="shared" si="6"/>
        <v>1760.200000000005</v>
      </c>
      <c r="N22" s="393">
        <f t="shared" si="15"/>
        <v>0</v>
      </c>
      <c r="O22" s="581">
        <v>46222</v>
      </c>
      <c r="P22" s="394">
        <v>0.75000000000000022</v>
      </c>
      <c r="Q22" s="581">
        <v>46222</v>
      </c>
      <c r="R22" s="395">
        <v>0.16666666666666666</v>
      </c>
      <c r="S22" s="396">
        <f t="shared" si="7"/>
        <v>-14.000000000058208</v>
      </c>
      <c r="T22" s="532">
        <f t="shared" si="10"/>
        <v>0</v>
      </c>
      <c r="U22" s="393">
        <f>+VLOOKUP(E22,'DINH MUC CHI PHI VH'!$C$4:$K$102,7,0)</f>
        <v>9.7207692307692302</v>
      </c>
      <c r="V22" s="393">
        <f>VLOOKUP(E22, 'DINH MUC CHI PHI VH'!$C$4:$N$102, 12, 0) * F22</f>
        <v>0</v>
      </c>
      <c r="W22" s="393">
        <f>+VLOOKUP(E22,'DINH MUC CHI PHI VH'!$C$4:$K$102,9,0)</f>
        <v>15</v>
      </c>
      <c r="X22" s="393">
        <f>+VLOOKUP(E22,'DINH MUC CHI PHI VH'!$C$4:$K$102,6,0)</f>
        <v>27.372222222222224</v>
      </c>
      <c r="Y22" s="393">
        <f t="shared" si="16"/>
        <v>52.092991452991456</v>
      </c>
      <c r="Z22" s="397">
        <f t="shared" si="3"/>
        <v>2865114.52991453</v>
      </c>
      <c r="AA22" s="163"/>
      <c r="AB22" s="345"/>
      <c r="AC22" s="346"/>
      <c r="AD22" s="215"/>
      <c r="AF22" s="163"/>
      <c r="AG22" s="138" t="str">
        <f>VLOOKUP(E22,'DINH MUC CHI PHI VH'!$C$4:$P$102,14,0)</f>
        <v>ÉP BÁNH</v>
      </c>
    </row>
    <row r="23" spans="2:33" s="138" customFormat="1" ht="20.25" customHeight="1">
      <c r="B23" s="658" t="s">
        <v>405</v>
      </c>
      <c r="C23" s="580">
        <v>46215</v>
      </c>
      <c r="D23" s="505" t="str">
        <f t="shared" si="14"/>
        <v>Sun</v>
      </c>
      <c r="E23" s="506" t="s">
        <v>338</v>
      </c>
      <c r="F23" s="409"/>
      <c r="G23" s="565"/>
      <c r="H23" s="565"/>
      <c r="I23" s="507"/>
      <c r="J23" s="507"/>
      <c r="K23" s="507">
        <v>15000</v>
      </c>
      <c r="L23" s="507"/>
      <c r="M23" s="507">
        <f t="shared" si="6"/>
        <v>1870.5999999999888</v>
      </c>
      <c r="N23" s="507">
        <f t="shared" si="15"/>
        <v>0</v>
      </c>
      <c r="O23" s="581">
        <v>46223</v>
      </c>
      <c r="P23" s="508">
        <v>0.72916666666666685</v>
      </c>
      <c r="Q23" s="581">
        <v>46223</v>
      </c>
      <c r="R23" s="509">
        <v>0.14583333333333331</v>
      </c>
      <c r="S23" s="510">
        <f t="shared" si="7"/>
        <v>-13.999999999883585</v>
      </c>
      <c r="T23" s="533">
        <f t="shared" si="10"/>
        <v>0</v>
      </c>
      <c r="U23" s="507">
        <f>+VLOOKUP(E23,'DINH MUC CHI PHI VH'!$C$4:$K$102,7,0)</f>
        <v>16.666666666666668</v>
      </c>
      <c r="V23" s="507">
        <f>VLOOKUP(E23, 'DINH MUC CHI PHI VH'!$C$4:$N$102, 12, 0) * F23</f>
        <v>0</v>
      </c>
      <c r="W23" s="507">
        <f>+VLOOKUP(E23,'DINH MUC CHI PHI VH'!$C$4:$K$102,9,0)</f>
        <v>15</v>
      </c>
      <c r="X23" s="507">
        <f>+VLOOKUP(E23,'DINH MUC CHI PHI VH'!$C$4:$K$102,6,0)</f>
        <v>10.78125</v>
      </c>
      <c r="Y23" s="507">
        <f t="shared" si="16"/>
        <v>42.447916666666671</v>
      </c>
      <c r="Z23" s="511">
        <f t="shared" si="3"/>
        <v>636718.75000000012</v>
      </c>
      <c r="AA23" s="400"/>
      <c r="AB23" s="345"/>
      <c r="AC23" s="346"/>
      <c r="AD23" s="215"/>
      <c r="AF23" s="163"/>
      <c r="AG23" s="138" t="str">
        <f>VLOOKUP(E23,'DINH MUC CHI PHI VH'!$C$4:$P$102,14,0)</f>
        <v>VỤN</v>
      </c>
    </row>
    <row r="24" spans="2:33" s="138" customFormat="1" ht="20.25" customHeight="1">
      <c r="B24" s="659"/>
      <c r="C24" s="580">
        <v>46223</v>
      </c>
      <c r="D24" s="347" t="str">
        <f t="shared" si="14"/>
        <v>Mon</v>
      </c>
      <c r="E24" s="403" t="s">
        <v>369</v>
      </c>
      <c r="F24" s="385"/>
      <c r="G24" s="561"/>
      <c r="H24" s="561"/>
      <c r="I24" s="349"/>
      <c r="J24" s="349"/>
      <c r="K24" s="349"/>
      <c r="L24" s="349"/>
      <c r="M24" s="349">
        <f t="shared" si="6"/>
        <v>1447.1999999999803</v>
      </c>
      <c r="N24" s="349">
        <f t="shared" si="15"/>
        <v>0</v>
      </c>
      <c r="O24" s="581">
        <v>46224</v>
      </c>
      <c r="P24" s="404">
        <v>0.89583333333333381</v>
      </c>
      <c r="Q24" s="581">
        <v>46224</v>
      </c>
      <c r="R24" s="405">
        <v>0.31249999999999994</v>
      </c>
      <c r="S24" s="406">
        <f t="shared" si="7"/>
        <v>-14.000000000058208</v>
      </c>
      <c r="T24" s="349">
        <f t="shared" si="10"/>
        <v>0</v>
      </c>
      <c r="U24" s="349">
        <f>+VLOOKUP(E24,'DINH MUC CHI PHI VH'!$C$4:$K$102,7,0)</f>
        <v>18.527950310559007</v>
      </c>
      <c r="V24" s="349">
        <f>VLOOKUP(E24, 'DINH MUC CHI PHI VH'!$C$4:$N$102, 12, 0) * F24</f>
        <v>0</v>
      </c>
      <c r="W24" s="349">
        <f>+VLOOKUP(E24,'DINH MUC CHI PHI VH'!$C$4:$K$102,9,0)</f>
        <v>15</v>
      </c>
      <c r="X24" s="349">
        <f>+VLOOKUP(E24,'DINH MUC CHI PHI VH'!$C$4:$K$102,6,0)</f>
        <v>11.19670138888889</v>
      </c>
      <c r="Y24" s="349">
        <f t="shared" si="16"/>
        <v>44.724651699447897</v>
      </c>
      <c r="Z24" s="401">
        <f t="shared" si="3"/>
        <v>0</v>
      </c>
      <c r="AA24" s="400"/>
      <c r="AC24" s="378"/>
      <c r="AD24" s="378"/>
      <c r="AG24" s="138" t="str">
        <f>VLOOKUP(E24,'DINH MUC CHI PHI VH'!$C$4:$P$102,14,0)</f>
        <v>ÉP BÁNH</v>
      </c>
    </row>
    <row r="25" spans="2:33" s="138" customFormat="1" ht="20.25" customHeight="1">
      <c r="B25" s="659"/>
      <c r="C25" s="580">
        <v>46224</v>
      </c>
      <c r="D25" s="304" t="str">
        <f>TEXT(C25, "DDD")</f>
        <v>Tue</v>
      </c>
      <c r="E25" s="384" t="s">
        <v>335</v>
      </c>
      <c r="F25" s="348"/>
      <c r="G25" s="562"/>
      <c r="H25" s="562"/>
      <c r="I25" s="543"/>
      <c r="J25" s="305"/>
      <c r="K25" s="305"/>
      <c r="L25" s="305"/>
      <c r="M25" s="305">
        <f t="shared" si="6"/>
        <v>2238.1999999999884</v>
      </c>
      <c r="N25" s="305">
        <f t="shared" si="15"/>
        <v>0</v>
      </c>
      <c r="O25" s="581">
        <v>46225</v>
      </c>
      <c r="P25" s="386">
        <v>0.54166666666666652</v>
      </c>
      <c r="Q25" s="581">
        <v>46225</v>
      </c>
      <c r="R25" s="387">
        <v>0.95833333333333393</v>
      </c>
      <c r="S25" s="388">
        <f t="shared" si="7"/>
        <v>10.000000000116415</v>
      </c>
      <c r="T25" s="349">
        <f t="shared" si="10"/>
        <v>0</v>
      </c>
      <c r="U25" s="305">
        <f>+VLOOKUP(E25,'DINH MUC CHI PHI VH'!$C$4:$K$102,7,0)</f>
        <v>9.7207692307692302</v>
      </c>
      <c r="V25" s="305">
        <f>VLOOKUP(E25, 'DINH MUC CHI PHI VH'!$C$4:$N$102, 12, 0) * F25</f>
        <v>0</v>
      </c>
      <c r="W25" s="305">
        <f>+VLOOKUP(E25,'DINH MUC CHI PHI VH'!$C$4:$K$102,9,0)</f>
        <v>15</v>
      </c>
      <c r="X25" s="305">
        <f>+VLOOKUP(E25,'DINH MUC CHI PHI VH'!$C$4:$K$102,6,0)</f>
        <v>27.372222222222224</v>
      </c>
      <c r="Y25" s="305">
        <f t="shared" si="16"/>
        <v>52.092991452991456</v>
      </c>
      <c r="Z25" s="389">
        <f t="shared" si="3"/>
        <v>0</v>
      </c>
      <c r="AA25" s="400"/>
      <c r="AG25" s="138" t="str">
        <f>VLOOKUP(E25,'DINH MUC CHI PHI VH'!$C$4:$P$102,14,0)</f>
        <v>ÉP BÁNH</v>
      </c>
    </row>
    <row r="26" spans="2:33" s="138" customFormat="1" ht="20.25" customHeight="1">
      <c r="B26" s="659"/>
      <c r="C26" s="580">
        <v>46225</v>
      </c>
      <c r="D26" s="304" t="str">
        <f t="shared" ref="D26:D63" si="17">TEXT(C26, "DDD")</f>
        <v>Wed</v>
      </c>
      <c r="E26" s="384" t="s">
        <v>337</v>
      </c>
      <c r="F26" s="385"/>
      <c r="G26" s="562"/>
      <c r="H26" s="562"/>
      <c r="I26" s="543"/>
      <c r="J26" s="305"/>
      <c r="K26" s="305"/>
      <c r="L26" s="305"/>
      <c r="M26" s="305">
        <f t="shared" si="6"/>
        <v>2000.6363636363587</v>
      </c>
      <c r="N26" s="305">
        <f t="shared" si="15"/>
        <v>0</v>
      </c>
      <c r="O26" s="581">
        <v>46226</v>
      </c>
      <c r="P26" s="386">
        <v>8.3333333333333329E-2</v>
      </c>
      <c r="Q26" s="581">
        <v>46226</v>
      </c>
      <c r="R26" s="387">
        <v>0.54166666666666652</v>
      </c>
      <c r="S26" s="388">
        <f t="shared" si="7"/>
        <v>10.999999999883585</v>
      </c>
      <c r="T26" s="349">
        <f t="shared" si="10"/>
        <v>0</v>
      </c>
      <c r="U26" s="305">
        <f>+VLOOKUP(E26,'DINH MUC CHI PHI VH'!$C$4:$K$102,7,0)</f>
        <v>9.7207692307692302</v>
      </c>
      <c r="V26" s="305">
        <f>VLOOKUP(E26, 'DINH MUC CHI PHI VH'!$C$4:$N$102, 12, 0) * F26</f>
        <v>0</v>
      </c>
      <c r="W26" s="305">
        <f>+VLOOKUP(E26,'DINH MUC CHI PHI VH'!$C$4:$K$102,9,0)</f>
        <v>15</v>
      </c>
      <c r="X26" s="305">
        <f>+VLOOKUP(E26,'DINH MUC CHI PHI VH'!$C$4:$K$102,6,0)</f>
        <v>27.146527777777781</v>
      </c>
      <c r="Y26" s="305">
        <f t="shared" si="16"/>
        <v>51.867297008547013</v>
      </c>
      <c r="Z26" s="389">
        <f t="shared" si="3"/>
        <v>0</v>
      </c>
      <c r="AA26" s="400"/>
      <c r="AG26" s="138" t="str">
        <f>VLOOKUP(E26,'DINH MUC CHI PHI VH'!$C$4:$P$102,14,0)</f>
        <v>ÉP BÁNH</v>
      </c>
    </row>
    <row r="27" spans="2:33" s="138" customFormat="1" ht="20.25" customHeight="1">
      <c r="B27" s="659"/>
      <c r="C27" s="580">
        <v>46226</v>
      </c>
      <c r="D27" s="347" t="str">
        <f t="shared" si="17"/>
        <v>Thu</v>
      </c>
      <c r="E27" s="403" t="s">
        <v>335</v>
      </c>
      <c r="F27" s="348"/>
      <c r="G27" s="561"/>
      <c r="H27" s="561"/>
      <c r="I27" s="544"/>
      <c r="J27" s="349"/>
      <c r="K27" s="349"/>
      <c r="L27" s="349"/>
      <c r="M27" s="349">
        <f t="shared" si="6"/>
        <v>1870.5999999999888</v>
      </c>
      <c r="N27" s="349">
        <f t="shared" si="15"/>
        <v>0</v>
      </c>
      <c r="O27" s="581">
        <v>46227</v>
      </c>
      <c r="P27" s="404">
        <v>0.72916666666666685</v>
      </c>
      <c r="Q27" s="581">
        <v>46227</v>
      </c>
      <c r="R27" s="405">
        <v>0.14583333333333331</v>
      </c>
      <c r="S27" s="406">
        <f t="shared" si="7"/>
        <v>-13.999999999883585</v>
      </c>
      <c r="T27" s="349">
        <f t="shared" si="10"/>
        <v>0</v>
      </c>
      <c r="U27" s="349">
        <f>+VLOOKUP(E27,'DINH MUC CHI PHI VH'!$C$4:$K$102,7,0)</f>
        <v>9.7207692307692302</v>
      </c>
      <c r="V27" s="349">
        <f>VLOOKUP(E27, 'DINH MUC CHI PHI VH'!$C$4:$N$102, 12, 0) * F27</f>
        <v>0</v>
      </c>
      <c r="W27" s="349">
        <f>+VLOOKUP(E27,'DINH MUC CHI PHI VH'!$C$4:$K$102,9,0)</f>
        <v>15</v>
      </c>
      <c r="X27" s="349">
        <f>+VLOOKUP(E27,'DINH MUC CHI PHI VH'!$C$4:$K$102,6,0)</f>
        <v>27.372222222222224</v>
      </c>
      <c r="Y27" s="349">
        <f t="shared" si="16"/>
        <v>52.092991452991456</v>
      </c>
      <c r="Z27" s="401">
        <f t="shared" si="3"/>
        <v>0</v>
      </c>
      <c r="AA27" s="400"/>
      <c r="AG27" s="138" t="str">
        <f>VLOOKUP(E27,'DINH MUC CHI PHI VH'!$C$4:$P$102,14,0)</f>
        <v>ÉP BÁNH</v>
      </c>
    </row>
    <row r="28" spans="2:33" s="138" customFormat="1" ht="20.25" customHeight="1">
      <c r="B28" s="659"/>
      <c r="C28" s="580">
        <v>46227</v>
      </c>
      <c r="D28" s="407" t="str">
        <f t="shared" si="17"/>
        <v>Fri</v>
      </c>
      <c r="E28" s="408" t="s">
        <v>335</v>
      </c>
      <c r="F28" s="409"/>
      <c r="G28" s="555"/>
      <c r="H28" s="555"/>
      <c r="I28" s="444"/>
      <c r="J28" s="410"/>
      <c r="K28" s="410"/>
      <c r="L28" s="410"/>
      <c r="M28" s="410">
        <f t="shared" si="6"/>
        <v>2180.7777777777619</v>
      </c>
      <c r="N28" s="410">
        <f t="shared" si="15"/>
        <v>0</v>
      </c>
      <c r="O28" s="581">
        <v>46228</v>
      </c>
      <c r="P28" s="411">
        <v>0.25</v>
      </c>
      <c r="Q28" s="581">
        <v>46228</v>
      </c>
      <c r="R28" s="412">
        <v>0.625</v>
      </c>
      <c r="S28" s="413">
        <f t="shared" si="7"/>
        <v>9</v>
      </c>
      <c r="T28" s="349">
        <f t="shared" si="10"/>
        <v>0</v>
      </c>
      <c r="U28" s="410">
        <f>+VLOOKUP(E28,'DINH MUC CHI PHI VH'!$C$4:$K$102,7,0)</f>
        <v>9.7207692307692302</v>
      </c>
      <c r="V28" s="410">
        <f>VLOOKUP(E28, 'DINH MUC CHI PHI VH'!$C$4:$N$102, 12, 0) * F28</f>
        <v>0</v>
      </c>
      <c r="W28" s="410">
        <f>+VLOOKUP(E28,'DINH MUC CHI PHI VH'!$C$4:$K$102,9,0)</f>
        <v>15</v>
      </c>
      <c r="X28" s="410">
        <f>+VLOOKUP(E28,'DINH MUC CHI PHI VH'!$C$4:$K$102,6,0)</f>
        <v>27.372222222222224</v>
      </c>
      <c r="Y28" s="410">
        <f t="shared" si="16"/>
        <v>52.092991452991456</v>
      </c>
      <c r="Z28" s="414">
        <f>+Y28*K28</f>
        <v>0</v>
      </c>
      <c r="AA28" s="400"/>
      <c r="AG28" s="138" t="str">
        <f>VLOOKUP(E28,'DINH MUC CHI PHI VH'!$C$4:$P$102,14,0)</f>
        <v>ÉP BÁNH</v>
      </c>
    </row>
    <row r="29" spans="2:33" s="138" customFormat="1" ht="20.25" customHeight="1" thickBot="1">
      <c r="B29" s="659"/>
      <c r="C29" s="580">
        <v>46228</v>
      </c>
      <c r="D29" s="390" t="str">
        <f t="shared" si="17"/>
        <v>Sat</v>
      </c>
      <c r="E29" s="391" t="s">
        <v>335</v>
      </c>
      <c r="F29" s="392"/>
      <c r="G29" s="564"/>
      <c r="H29" s="564"/>
      <c r="I29" s="545"/>
      <c r="J29" s="393"/>
      <c r="K29" s="393"/>
      <c r="L29" s="393"/>
      <c r="M29" s="393">
        <f t="shared" si="6"/>
        <v>1479.3499999999826</v>
      </c>
      <c r="N29" s="393">
        <f>+M29*L29</f>
        <v>0</v>
      </c>
      <c r="O29" s="581">
        <v>46229</v>
      </c>
      <c r="P29" s="394">
        <v>0.93750000000000056</v>
      </c>
      <c r="Q29" s="581">
        <v>46229</v>
      </c>
      <c r="R29" s="395">
        <v>0.35416666666666657</v>
      </c>
      <c r="S29" s="396">
        <f t="shared" si="7"/>
        <v>-14.000000000058208</v>
      </c>
      <c r="T29" s="393">
        <f t="shared" si="10"/>
        <v>0</v>
      </c>
      <c r="U29" s="393">
        <f>+VLOOKUP(E29,'DINH MUC CHI PHI VH'!$C$4:$K$102,7,0)</f>
        <v>9.7207692307692302</v>
      </c>
      <c r="V29" s="393">
        <f>VLOOKUP(E29, 'DINH MUC CHI PHI VH'!$C$4:$N$102, 12, 0) * F29</f>
        <v>0</v>
      </c>
      <c r="W29" s="393">
        <f>+VLOOKUP(E29,'DINH MUC CHI PHI VH'!$C$4:$K$102,9,0)</f>
        <v>15</v>
      </c>
      <c r="X29" s="393">
        <f>+VLOOKUP(E29,'DINH MUC CHI PHI VH'!$C$4:$K$102,6,0)</f>
        <v>27.372222222222224</v>
      </c>
      <c r="Y29" s="393">
        <f t="shared" si="16"/>
        <v>52.092991452991456</v>
      </c>
      <c r="Z29" s="397">
        <f t="shared" si="3"/>
        <v>0</v>
      </c>
      <c r="AA29" s="163"/>
      <c r="AG29" s="138" t="str">
        <f>VLOOKUP(E29,'DINH MUC CHI PHI VH'!$C$4:$P$102,14,0)</f>
        <v>ÉP BÁNH</v>
      </c>
    </row>
    <row r="30" spans="2:33" ht="20.25" customHeight="1">
      <c r="B30" s="660"/>
      <c r="C30" s="580">
        <v>46229</v>
      </c>
      <c r="D30" s="284" t="str">
        <f t="shared" si="17"/>
        <v>Sun</v>
      </c>
      <c r="E30" s="374" t="s">
        <v>335</v>
      </c>
      <c r="F30" s="299"/>
      <c r="G30" s="566"/>
      <c r="H30" s="566"/>
      <c r="I30" s="546"/>
      <c r="J30" s="286"/>
      <c r="K30" s="286"/>
      <c r="L30" s="285"/>
      <c r="M30" s="286">
        <f t="shared" si="6"/>
        <v>1760.200000000005</v>
      </c>
      <c r="N30" s="286">
        <f t="shared" si="15"/>
        <v>0</v>
      </c>
      <c r="O30" s="581">
        <v>46230</v>
      </c>
      <c r="P30" s="375">
        <v>0.75000000000000022</v>
      </c>
      <c r="Q30" s="581">
        <v>46230</v>
      </c>
      <c r="R30" s="376">
        <v>0.16666666666666666</v>
      </c>
      <c r="S30" s="470">
        <f t="shared" si="7"/>
        <v>-14.000000000058208</v>
      </c>
      <c r="T30" s="349">
        <f t="shared" si="10"/>
        <v>0</v>
      </c>
      <c r="U30" s="286">
        <f>+VLOOKUP(E30,'DINH MUC CHI PHI VH'!$C$4:$K$102,7,0)</f>
        <v>9.7207692307692302</v>
      </c>
      <c r="V30" s="286">
        <f>VLOOKUP(E30, 'DINH MUC CHI PHI VH'!$C$4:$N$102, 12, 0) * F30</f>
        <v>0</v>
      </c>
      <c r="W30" s="286">
        <f>+VLOOKUP(E30,'DINH MUC CHI PHI VH'!$C$4:$K$102,9,0)</f>
        <v>15</v>
      </c>
      <c r="X30" s="286">
        <f>+VLOOKUP(E30,'DINH MUC CHI PHI VH'!$C$4:$K$102,6,0)</f>
        <v>27.372222222222224</v>
      </c>
      <c r="Y30" s="398">
        <f>SUM(T30:X30)</f>
        <v>52.092991452991456</v>
      </c>
      <c r="Z30" s="495">
        <f t="shared" si="3"/>
        <v>0</v>
      </c>
      <c r="AA30" s="365"/>
      <c r="AB30" s="138"/>
      <c r="AC30" s="138"/>
      <c r="AD30" s="138"/>
      <c r="AE30" s="138"/>
      <c r="AF30" s="138"/>
      <c r="AG30" s="138" t="str">
        <f>VLOOKUP(E30,'DINH MUC CHI PHI VH'!$C$4:$P$102,14,0)</f>
        <v>ÉP BÁNH</v>
      </c>
    </row>
    <row r="31" spans="2:33" ht="20.25" customHeight="1">
      <c r="B31" s="661" t="s">
        <v>448</v>
      </c>
      <c r="C31" s="580">
        <v>46230</v>
      </c>
      <c r="D31" s="496" t="str">
        <f t="shared" si="17"/>
        <v>Mon</v>
      </c>
      <c r="E31" s="497" t="s">
        <v>335</v>
      </c>
      <c r="F31" s="498"/>
      <c r="G31" s="567"/>
      <c r="H31" s="567"/>
      <c r="I31" s="547"/>
      <c r="J31" s="473"/>
      <c r="K31" s="473"/>
      <c r="L31" s="472"/>
      <c r="M31" s="473">
        <f t="shared" si="6"/>
        <v>2145.9999999999814</v>
      </c>
      <c r="N31" s="473">
        <f t="shared" si="15"/>
        <v>0</v>
      </c>
      <c r="O31" s="581">
        <v>46231</v>
      </c>
      <c r="P31" s="499">
        <v>0.25</v>
      </c>
      <c r="Q31" s="581">
        <v>46231</v>
      </c>
      <c r="R31" s="500">
        <v>0.66666666666666674</v>
      </c>
      <c r="S31" s="501">
        <f t="shared" si="7"/>
        <v>9.9999999999417923</v>
      </c>
      <c r="T31" s="349">
        <f t="shared" si="10"/>
        <v>0</v>
      </c>
      <c r="U31" s="473">
        <f>+VLOOKUP(E31,'DINH MUC CHI PHI VH'!$C$4:$K$102,7,0)</f>
        <v>9.7207692307692302</v>
      </c>
      <c r="V31" s="473">
        <f>VLOOKUP(E31, 'DINH MUC CHI PHI VH'!$C$4:$N$102, 12, 0) * F31</f>
        <v>0</v>
      </c>
      <c r="W31" s="473">
        <f>+VLOOKUP(E31,'DINH MUC CHI PHI VH'!$C$4:$K$102,9,0)</f>
        <v>15</v>
      </c>
      <c r="X31" s="473">
        <f>+VLOOKUP(E31,'DINH MUC CHI PHI VH'!$C$4:$K$102,6,0)</f>
        <v>27.372222222222224</v>
      </c>
      <c r="Y31" s="502">
        <f t="shared" ref="Y31:Y63" si="18">SUM(T31:X31)</f>
        <v>52.092991452991456</v>
      </c>
      <c r="Z31" s="389">
        <f t="shared" si="3"/>
        <v>0</v>
      </c>
      <c r="AA31" s="365"/>
      <c r="AB31" s="138"/>
      <c r="AC31" s="138"/>
      <c r="AD31" s="138"/>
      <c r="AE31" s="138"/>
      <c r="AF31" s="138"/>
      <c r="AG31" s="138" t="str">
        <f>VLOOKUP(E31,'DINH MUC CHI PHI VH'!$C$4:$P$102,14,0)</f>
        <v>ÉP BÁNH</v>
      </c>
    </row>
    <row r="32" spans="2:33" s="259" customFormat="1" ht="20.25" customHeight="1">
      <c r="B32" s="659"/>
      <c r="C32" s="580">
        <v>46231</v>
      </c>
      <c r="D32" s="241" t="str">
        <f t="shared" si="17"/>
        <v>Tue</v>
      </c>
      <c r="E32" s="373" t="s">
        <v>335</v>
      </c>
      <c r="F32" s="298"/>
      <c r="G32" s="568"/>
      <c r="H32" s="568"/>
      <c r="I32" s="548"/>
      <c r="J32" s="242"/>
      <c r="K32" s="242"/>
      <c r="L32" s="266"/>
      <c r="M32" s="242">
        <f t="shared" si="6"/>
        <v>1760.200000000005</v>
      </c>
      <c r="N32" s="258">
        <f t="shared" si="15"/>
        <v>0</v>
      </c>
      <c r="O32" s="581">
        <v>46232</v>
      </c>
      <c r="P32" s="361">
        <v>0.75000000000000022</v>
      </c>
      <c r="Q32" s="581">
        <v>46232</v>
      </c>
      <c r="R32" s="371">
        <v>0.16666666666666666</v>
      </c>
      <c r="S32" s="469">
        <f t="shared" si="7"/>
        <v>-14.000000000058208</v>
      </c>
      <c r="T32" s="349">
        <f t="shared" si="10"/>
        <v>0</v>
      </c>
      <c r="U32" s="242">
        <f>+VLOOKUP(E32,'DINH MUC CHI PHI VH'!$C$4:$K$102,7,0)</f>
        <v>9.7207692307692302</v>
      </c>
      <c r="V32" s="242">
        <f>VLOOKUP(E32, 'DINH MUC CHI PHI VH'!$C$4:$N$102, 12, 0) * F32</f>
        <v>0</v>
      </c>
      <c r="W32" s="242">
        <f>+VLOOKUP(E32,'DINH MUC CHI PHI VH'!$C$4:$K$102,9,0)</f>
        <v>15</v>
      </c>
      <c r="X32" s="242">
        <f>+VLOOKUP(E32,'DINH MUC CHI PHI VH'!$C$4:$K$102,6,0)</f>
        <v>27.372222222222224</v>
      </c>
      <c r="Y32" s="399">
        <f t="shared" si="18"/>
        <v>52.092991452991456</v>
      </c>
      <c r="Z32" s="401">
        <f t="shared" si="3"/>
        <v>0</v>
      </c>
      <c r="AA32" s="382"/>
      <c r="AB32" s="138"/>
      <c r="AC32" s="138"/>
      <c r="AD32" s="138"/>
      <c r="AE32" s="138"/>
      <c r="AF32" s="138"/>
      <c r="AG32" s="138" t="str">
        <f>VLOOKUP(E32,'DINH MUC CHI PHI VH'!$C$4:$P$102,14,0)</f>
        <v>ÉP BÁNH</v>
      </c>
    </row>
    <row r="33" spans="2:33" ht="20.25" customHeight="1">
      <c r="B33" s="659"/>
      <c r="C33" s="580">
        <v>46232</v>
      </c>
      <c r="D33" s="146" t="str">
        <f t="shared" si="17"/>
        <v>Wed</v>
      </c>
      <c r="E33" s="136" t="s">
        <v>369</v>
      </c>
      <c r="F33" s="298"/>
      <c r="G33" s="569"/>
      <c r="H33" s="569"/>
      <c r="I33" s="549"/>
      <c r="J33" s="254"/>
      <c r="K33" s="254"/>
      <c r="L33" s="248"/>
      <c r="M33" s="242">
        <f t="shared" si="6"/>
        <v>2145.9999999999814</v>
      </c>
      <c r="N33" s="242">
        <f t="shared" si="15"/>
        <v>0</v>
      </c>
      <c r="O33" s="581">
        <v>46233</v>
      </c>
      <c r="P33" s="361">
        <v>0.25</v>
      </c>
      <c r="Q33" s="581">
        <v>46233</v>
      </c>
      <c r="R33" s="371">
        <v>0.66666666666666674</v>
      </c>
      <c r="S33" s="469">
        <f t="shared" si="7"/>
        <v>9.9999999999417923</v>
      </c>
      <c r="T33" s="349">
        <f t="shared" si="10"/>
        <v>0</v>
      </c>
      <c r="U33" s="242">
        <f>+VLOOKUP(E33,'DINH MUC CHI PHI VH'!$C$4:$K$102,7,0)</f>
        <v>18.527950310559007</v>
      </c>
      <c r="V33" s="242">
        <f>VLOOKUP(E33, 'DINH MUC CHI PHI VH'!$C$4:$N$102, 12, 0) * F33</f>
        <v>0</v>
      </c>
      <c r="W33" s="242">
        <f>+VLOOKUP(E33,'DINH MUC CHI PHI VH'!$C$4:$K$102,9,0)</f>
        <v>15</v>
      </c>
      <c r="X33" s="242">
        <f>+VLOOKUP(E33,'DINH MUC CHI PHI VH'!$C$4:$K$102,6,0)</f>
        <v>11.19670138888889</v>
      </c>
      <c r="Y33" s="242">
        <f t="shared" si="18"/>
        <v>44.724651699447897</v>
      </c>
      <c r="Z33" s="243">
        <f t="shared" si="3"/>
        <v>0</v>
      </c>
      <c r="AA33" s="148"/>
      <c r="AB33" s="138"/>
      <c r="AC33" s="138"/>
      <c r="AD33" s="138"/>
      <c r="AE33" s="138"/>
      <c r="AF33" s="138"/>
      <c r="AG33" s="138" t="str">
        <f>VLOOKUP(E33,'DINH MUC CHI PHI VH'!$C$4:$P$102,14,0)</f>
        <v>ÉP BÁNH</v>
      </c>
    </row>
    <row r="34" spans="2:33" ht="20.25" customHeight="1">
      <c r="B34" s="659"/>
      <c r="C34" s="580">
        <v>46233</v>
      </c>
      <c r="D34" s="146" t="str">
        <f t="shared" si="17"/>
        <v>Thu</v>
      </c>
      <c r="E34" s="136" t="s">
        <v>335</v>
      </c>
      <c r="F34" s="298"/>
      <c r="G34" s="569"/>
      <c r="H34" s="569"/>
      <c r="I34" s="549"/>
      <c r="J34" s="254"/>
      <c r="K34" s="254"/>
      <c r="L34" s="249"/>
      <c r="M34" s="242">
        <f t="shared" si="6"/>
        <v>1870.5999999999888</v>
      </c>
      <c r="N34" s="108">
        <f t="shared" si="15"/>
        <v>0</v>
      </c>
      <c r="O34" s="581">
        <v>46234</v>
      </c>
      <c r="P34" s="361">
        <v>0.72916666666666685</v>
      </c>
      <c r="Q34" s="581">
        <v>46234</v>
      </c>
      <c r="R34" s="371">
        <v>0.14583333333333331</v>
      </c>
      <c r="S34" s="469">
        <f t="shared" si="7"/>
        <v>-13.999999999883585</v>
      </c>
      <c r="T34" s="349">
        <f t="shared" si="10"/>
        <v>0</v>
      </c>
      <c r="U34" s="242">
        <f>+VLOOKUP(E34,'DINH MUC CHI PHI VH'!$C$4:$K$102,7,0)</f>
        <v>9.7207692307692302</v>
      </c>
      <c r="V34" s="242">
        <f>VLOOKUP(E34, 'DINH MUC CHI PHI VH'!$C$4:$N$102, 12, 0) * F34</f>
        <v>0</v>
      </c>
      <c r="W34" s="242">
        <f>+VLOOKUP(E34,'DINH MUC CHI PHI VH'!$C$4:$K$102,9,0)</f>
        <v>15</v>
      </c>
      <c r="X34" s="242">
        <f>+VLOOKUP(E34,'DINH MUC CHI PHI VH'!$C$4:$K$102,6,0)</f>
        <v>27.372222222222224</v>
      </c>
      <c r="Y34" s="108">
        <f>SUM(T34:X34)</f>
        <v>52.092991452991456</v>
      </c>
      <c r="Z34" s="181">
        <f t="shared" si="3"/>
        <v>0</v>
      </c>
      <c r="AA34" s="148"/>
      <c r="AB34" s="138"/>
      <c r="AC34" s="138"/>
      <c r="AD34" s="138"/>
      <c r="AE34" s="138"/>
      <c r="AF34" s="138"/>
      <c r="AG34" s="138" t="str">
        <f>VLOOKUP(E34,'DINH MUC CHI PHI VH'!$C$4:$P$102,14,0)</f>
        <v>ÉP BÁNH</v>
      </c>
    </row>
    <row r="35" spans="2:33" ht="20.25" customHeight="1">
      <c r="B35" s="578"/>
      <c r="C35" s="580">
        <v>46234</v>
      </c>
      <c r="D35" s="288" t="str">
        <f t="shared" si="17"/>
        <v>Fri</v>
      </c>
      <c r="E35" s="377"/>
      <c r="F35" s="297"/>
      <c r="G35" s="570"/>
      <c r="H35" s="570"/>
      <c r="I35" s="550"/>
      <c r="J35" s="216"/>
      <c r="K35" s="216"/>
      <c r="L35" s="250"/>
      <c r="M35" s="286">
        <f t="shared" si="6"/>
        <v>1760.200000000005</v>
      </c>
      <c r="N35" s="216">
        <f t="shared" si="15"/>
        <v>0</v>
      </c>
      <c r="O35" s="581">
        <v>46235</v>
      </c>
      <c r="P35" s="375">
        <v>0.75000000000000022</v>
      </c>
      <c r="Q35" s="581">
        <v>46235</v>
      </c>
      <c r="R35" s="376">
        <v>0.16666666666666666</v>
      </c>
      <c r="S35" s="470">
        <f t="shared" si="7"/>
        <v>-14.000000000058208</v>
      </c>
      <c r="T35" s="349">
        <f t="shared" si="10"/>
        <v>0</v>
      </c>
      <c r="U35" s="242" t="e">
        <f>+VLOOKUP(E35,'DINH MUC CHI PHI VH'!$C$4:$K$102,7,0)</f>
        <v>#N/A</v>
      </c>
      <c r="V35" s="242" t="e">
        <f>VLOOKUP(E35, 'DINH MUC CHI PHI VH'!$C$4:$N$102, 12, 0) * F35</f>
        <v>#N/A</v>
      </c>
      <c r="W35" s="242" t="e">
        <f>+VLOOKUP(E35,'DINH MUC CHI PHI VH'!$C$4:$K$102,9,0)</f>
        <v>#N/A</v>
      </c>
      <c r="X35" s="242" t="e">
        <f>+VLOOKUP(E35,'DINH MUC CHI PHI VH'!$C$4:$K$102,6,0)</f>
        <v>#N/A</v>
      </c>
      <c r="Y35" s="216" t="e">
        <f t="shared" si="18"/>
        <v>#N/A</v>
      </c>
      <c r="Z35" s="256" t="e">
        <f t="shared" ref="Z35:Z63" si="19">+Y35*K35</f>
        <v>#N/A</v>
      </c>
      <c r="AA35" s="148"/>
      <c r="AB35" s="138"/>
      <c r="AC35" s="138"/>
      <c r="AD35" s="138"/>
      <c r="AE35" s="138"/>
      <c r="AF35" s="138"/>
      <c r="AG35" s="138" t="e">
        <f>VLOOKUP(E35,'DINH MUC CHI PHI VH'!$C$4:$P$102,14,0)</f>
        <v>#N/A</v>
      </c>
    </row>
    <row r="36" spans="2:33" s="138" customFormat="1" ht="20.25" customHeight="1">
      <c r="B36" s="578"/>
      <c r="C36" s="580">
        <v>46235</v>
      </c>
      <c r="D36" s="407" t="str">
        <f t="shared" si="17"/>
        <v>Sat</v>
      </c>
      <c r="E36" s="408"/>
      <c r="F36" s="409"/>
      <c r="G36" s="571"/>
      <c r="H36" s="571"/>
      <c r="I36" s="443"/>
      <c r="J36" s="410"/>
      <c r="K36" s="410"/>
      <c r="L36" s="410"/>
      <c r="M36" s="410">
        <f t="shared" si="6"/>
        <v>1447.1999999999823</v>
      </c>
      <c r="N36" s="410">
        <f t="shared" si="15"/>
        <v>0</v>
      </c>
      <c r="O36" s="581">
        <v>46236</v>
      </c>
      <c r="P36" s="411">
        <v>0.91666666666666718</v>
      </c>
      <c r="Q36" s="581">
        <v>46236</v>
      </c>
      <c r="R36" s="412">
        <v>0.33333333333333326</v>
      </c>
      <c r="S36" s="413">
        <f t="shared" si="7"/>
        <v>-13.999999999883585</v>
      </c>
      <c r="T36" s="349">
        <f t="shared" si="10"/>
        <v>0</v>
      </c>
      <c r="U36" s="242" t="e">
        <f>+VLOOKUP(E36,'DINH MUC CHI PHI VH'!$C$4:$K$102,7,0)</f>
        <v>#N/A</v>
      </c>
      <c r="V36" s="242" t="e">
        <f>VLOOKUP(E36, 'DINH MUC CHI PHI VH'!$C$4:$N$102, 12, 0) * F36</f>
        <v>#N/A</v>
      </c>
      <c r="W36" s="242" t="e">
        <f>+VLOOKUP(E36,'DINH MUC CHI PHI VH'!$C$4:$K$102,9,0)</f>
        <v>#N/A</v>
      </c>
      <c r="X36" s="242" t="e">
        <f>+VLOOKUP(E36,'DINH MUC CHI PHI VH'!$C$4:$K$102,6,0)</f>
        <v>#N/A</v>
      </c>
      <c r="Y36" s="410" t="e">
        <f>SUM(T36:X36)</f>
        <v>#N/A</v>
      </c>
      <c r="Z36" s="414" t="e">
        <f t="shared" si="19"/>
        <v>#N/A</v>
      </c>
      <c r="AA36" s="382"/>
      <c r="AG36" s="138" t="e">
        <f>VLOOKUP(E36,'DINH MUC CHI PHI VH'!$C$4:$P$102,14,0)</f>
        <v>#N/A</v>
      </c>
    </row>
    <row r="37" spans="2:33" s="138" customFormat="1" ht="20.25" customHeight="1">
      <c r="B37" s="578"/>
      <c r="C37" s="580">
        <v>46236</v>
      </c>
      <c r="D37" s="407" t="str">
        <f t="shared" si="17"/>
        <v>Sun</v>
      </c>
      <c r="E37" s="408"/>
      <c r="F37" s="409"/>
      <c r="G37" s="571"/>
      <c r="H37" s="571"/>
      <c r="I37" s="443"/>
      <c r="J37" s="444"/>
      <c r="K37" s="410"/>
      <c r="L37" s="410"/>
      <c r="M37" s="410">
        <f t="shared" si="6"/>
        <v>2206.0499999999811</v>
      </c>
      <c r="N37" s="410">
        <f>+M37*L37</f>
        <v>0</v>
      </c>
      <c r="O37" s="581">
        <v>46237</v>
      </c>
      <c r="P37" s="411">
        <v>0.56249999999999989</v>
      </c>
      <c r="Q37" s="581">
        <v>46237</v>
      </c>
      <c r="R37" s="412">
        <v>0.9791666666666673</v>
      </c>
      <c r="S37" s="413">
        <f t="shared" si="7"/>
        <v>9.9999999999417923</v>
      </c>
      <c r="T37" s="349">
        <f t="shared" si="10"/>
        <v>0</v>
      </c>
      <c r="U37" s="242" t="e">
        <f>+VLOOKUP(E37,'DINH MUC CHI PHI VH'!$C$4:$K$102,7,0)</f>
        <v>#N/A</v>
      </c>
      <c r="V37" s="242" t="e">
        <f>VLOOKUP(E37, 'DINH MUC CHI PHI VH'!$C$4:$N$102, 12, 0) * F37</f>
        <v>#N/A</v>
      </c>
      <c r="W37" s="242" t="e">
        <f>+VLOOKUP(E37,'DINH MUC CHI PHI VH'!$C$4:$K$102,9,0)</f>
        <v>#N/A</v>
      </c>
      <c r="X37" s="242" t="e">
        <f>+VLOOKUP(E37,'DINH MUC CHI PHI VH'!$C$4:$K$102,6,0)</f>
        <v>#N/A</v>
      </c>
      <c r="Y37" s="410" t="e">
        <f t="shared" si="18"/>
        <v>#N/A</v>
      </c>
      <c r="Z37" s="414" t="e">
        <f t="shared" si="19"/>
        <v>#N/A</v>
      </c>
      <c r="AA37" s="382"/>
      <c r="AG37" s="138" t="e">
        <f>VLOOKUP(E37,'DINH MUC CHI PHI VH'!$C$4:$P$102,14,0)</f>
        <v>#N/A</v>
      </c>
    </row>
    <row r="38" spans="2:33" s="138" customFormat="1">
      <c r="B38" s="578"/>
      <c r="C38" s="580">
        <v>46237</v>
      </c>
      <c r="D38" s="407" t="str">
        <f t="shared" si="17"/>
        <v>Mon</v>
      </c>
      <c r="E38" s="408"/>
      <c r="F38" s="409"/>
      <c r="G38" s="571"/>
      <c r="H38" s="571"/>
      <c r="I38" s="443"/>
      <c r="J38" s="410"/>
      <c r="K38" s="410"/>
      <c r="L38" s="410"/>
      <c r="M38" s="410">
        <f t="shared" si="6"/>
        <v>2327.8749999999991</v>
      </c>
      <c r="N38" s="410">
        <f t="shared" si="15"/>
        <v>0</v>
      </c>
      <c r="O38" s="581">
        <v>46238</v>
      </c>
      <c r="P38" s="411">
        <v>0.43749999999999983</v>
      </c>
      <c r="Q38" s="581">
        <v>46238</v>
      </c>
      <c r="R38" s="412">
        <v>0.93750000000000056</v>
      </c>
      <c r="S38" s="413">
        <f t="shared" si="7"/>
        <v>12</v>
      </c>
      <c r="T38" s="349">
        <f t="shared" si="10"/>
        <v>0</v>
      </c>
      <c r="U38" s="216" t="e">
        <f>+VLOOKUP(E38,'DINH MUC CHI PHI VH'!$C$4:$K$102,7,0)</f>
        <v>#N/A</v>
      </c>
      <c r="V38" s="216" t="e">
        <f>VLOOKUP(E38, 'DINH MUC CHI PHI VH'!$C$4:$N$102, 12, 0) * F38</f>
        <v>#N/A</v>
      </c>
      <c r="W38" s="216" t="e">
        <f>+VLOOKUP(E38,'DINH MUC CHI PHI VH'!$C$4:$K$102,9,0)</f>
        <v>#N/A</v>
      </c>
      <c r="X38" s="471" t="e">
        <f>+VLOOKUP(E38,'DINH MUC CHI PHI VH'!$C$4:$K$102,6,0)</f>
        <v>#N/A</v>
      </c>
      <c r="Y38" s="410" t="e">
        <f t="shared" si="18"/>
        <v>#N/A</v>
      </c>
      <c r="Z38" s="414" t="e">
        <f t="shared" si="19"/>
        <v>#N/A</v>
      </c>
      <c r="AA38" s="382"/>
      <c r="AB38" s="441"/>
      <c r="AC38" s="442"/>
      <c r="AD38" s="442"/>
      <c r="AG38" s="138" t="e">
        <f>VLOOKUP(E38,'DINH MUC CHI PHI VH'!$C$4:$P$102,14,0)</f>
        <v>#N/A</v>
      </c>
    </row>
    <row r="39" spans="2:33" s="138" customFormat="1" ht="18.75" customHeight="1">
      <c r="B39" s="578"/>
      <c r="C39" s="580">
        <v>46238</v>
      </c>
      <c r="D39" s="304" t="str">
        <f t="shared" si="17"/>
        <v>Tue</v>
      </c>
      <c r="E39" s="384"/>
      <c r="F39" s="385"/>
      <c r="G39" s="572"/>
      <c r="H39" s="572"/>
      <c r="I39" s="537"/>
      <c r="J39" s="305"/>
      <c r="K39" s="305"/>
      <c r="L39" s="305"/>
      <c r="M39" s="305">
        <f t="shared" si="6"/>
        <v>1712.2272727272646</v>
      </c>
      <c r="N39" s="305">
        <f>+M39*L39</f>
        <v>0</v>
      </c>
      <c r="O39" s="581">
        <v>46239</v>
      </c>
      <c r="P39" s="386">
        <v>0.9791666666666673</v>
      </c>
      <c r="Q39" s="581">
        <v>46239</v>
      </c>
      <c r="R39" s="387">
        <v>0.43749999999999983</v>
      </c>
      <c r="S39" s="388">
        <f t="shared" si="7"/>
        <v>-12.999999999941792</v>
      </c>
      <c r="T39" s="349">
        <f t="shared" si="10"/>
        <v>0</v>
      </c>
      <c r="U39" s="473" t="e">
        <f>+VLOOKUP(E39,'DINH MUC CHI PHI VH'!$C$4:$K$102,7,0)</f>
        <v>#N/A</v>
      </c>
      <c r="V39" s="473" t="e">
        <f>VLOOKUP(E39, 'DINH MUC CHI PHI VH'!$C$4:$N$102, 12, 0) * F39</f>
        <v>#N/A</v>
      </c>
      <c r="W39" s="473" t="e">
        <f>+VLOOKUP(E39,'DINH MUC CHI PHI VH'!$C$4:$K$102,9,0)</f>
        <v>#N/A</v>
      </c>
      <c r="X39" s="473" t="e">
        <f>+VLOOKUP(E39,'DINH MUC CHI PHI VH'!$C$4:$K$102,6,0)</f>
        <v>#N/A</v>
      </c>
      <c r="Y39" s="305" t="e">
        <f t="shared" si="18"/>
        <v>#N/A</v>
      </c>
      <c r="Z39" s="389" t="e">
        <f t="shared" si="19"/>
        <v>#N/A</v>
      </c>
      <c r="AA39" s="382"/>
      <c r="AB39" s="379"/>
      <c r="AG39" s="138" t="e">
        <f>VLOOKUP(E39,'DINH MUC CHI PHI VH'!$C$4:$P$102,14,0)</f>
        <v>#N/A</v>
      </c>
    </row>
    <row r="40" spans="2:33" s="138" customFormat="1" ht="20.25" customHeight="1">
      <c r="B40" s="578"/>
      <c r="C40" s="580">
        <v>46239</v>
      </c>
      <c r="D40" s="347" t="str">
        <f t="shared" si="17"/>
        <v>Wed</v>
      </c>
      <c r="E40" s="403"/>
      <c r="F40" s="348"/>
      <c r="G40" s="573"/>
      <c r="H40" s="573"/>
      <c r="I40" s="536"/>
      <c r="J40" s="349"/>
      <c r="K40" s="349"/>
      <c r="L40" s="349"/>
      <c r="M40" s="349">
        <f t="shared" si="6"/>
        <v>2077.4499999999639</v>
      </c>
      <c r="N40" s="349">
        <f t="shared" si="15"/>
        <v>0</v>
      </c>
      <c r="O40" s="581">
        <v>46240</v>
      </c>
      <c r="P40" s="404">
        <v>0.64583333333333337</v>
      </c>
      <c r="Q40" s="581">
        <v>46240</v>
      </c>
      <c r="R40" s="405">
        <v>6.25E-2</v>
      </c>
      <c r="S40" s="406">
        <f t="shared" si="7"/>
        <v>-14.000000000058208</v>
      </c>
      <c r="T40" s="349">
        <f t="shared" si="10"/>
        <v>0</v>
      </c>
      <c r="U40" s="242" t="e">
        <f>+VLOOKUP(E40,'DINH MUC CHI PHI VH'!$C$4:$K$102,7,0)</f>
        <v>#N/A</v>
      </c>
      <c r="V40" s="242" t="e">
        <f>VLOOKUP(E40, 'DINH MUC CHI PHI VH'!$C$4:$N$102, 12, 0) * F40</f>
        <v>#N/A</v>
      </c>
      <c r="W40" s="242" t="e">
        <f>+VLOOKUP(E40,'DINH MUC CHI PHI VH'!$C$4:$K$102,9,0)</f>
        <v>#N/A</v>
      </c>
      <c r="X40" s="242" t="e">
        <f>+VLOOKUP(E40,'DINH MUC CHI PHI VH'!$C$4:$K$102,6,0)</f>
        <v>#N/A</v>
      </c>
      <c r="Y40" s="349" t="e">
        <f t="shared" si="18"/>
        <v>#N/A</v>
      </c>
      <c r="Z40" s="401" t="e">
        <f t="shared" si="19"/>
        <v>#N/A</v>
      </c>
      <c r="AA40" s="382"/>
      <c r="AB40" s="380"/>
      <c r="AC40" s="381"/>
      <c r="AD40" s="381"/>
      <c r="AG40" s="138" t="e">
        <f>VLOOKUP(E40,'DINH MUC CHI PHI VH'!$C$4:$P$102,14,0)</f>
        <v>#N/A</v>
      </c>
    </row>
    <row r="41" spans="2:33" s="138" customFormat="1" ht="20.25" customHeight="1" thickBot="1">
      <c r="B41" s="579"/>
      <c r="C41" s="580">
        <v>46240</v>
      </c>
      <c r="D41" s="390" t="str">
        <f t="shared" si="17"/>
        <v>Thu</v>
      </c>
      <c r="E41" s="391"/>
      <c r="F41" s="392"/>
      <c r="G41" s="574"/>
      <c r="H41" s="574"/>
      <c r="I41" s="538"/>
      <c r="J41" s="393"/>
      <c r="K41" s="393"/>
      <c r="L41" s="393"/>
      <c r="M41" s="393">
        <f t="shared" si="6"/>
        <v>2073.7692307692114</v>
      </c>
      <c r="N41" s="393">
        <f t="shared" si="15"/>
        <v>0</v>
      </c>
      <c r="O41" s="581">
        <v>46241</v>
      </c>
      <c r="P41" s="394">
        <v>2.1666666666666701</v>
      </c>
      <c r="Q41" s="581">
        <v>46241</v>
      </c>
      <c r="R41" s="395">
        <v>1.7083333333333299</v>
      </c>
      <c r="S41" s="396">
        <f t="shared" si="7"/>
        <v>-10.999999999883585</v>
      </c>
      <c r="T41" s="349">
        <f t="shared" si="10"/>
        <v>0</v>
      </c>
      <c r="U41" s="474" t="e">
        <f>+VLOOKUP(E41,'DINH MUC CHI PHI VH'!$C$4:$K$102,7,0)</f>
        <v>#N/A</v>
      </c>
      <c r="V41" s="474" t="e">
        <f>VLOOKUP(E41, 'DINH MUC CHI PHI VH'!$C$4:$N$102, 12, 0) * F41</f>
        <v>#N/A</v>
      </c>
      <c r="W41" s="474" t="e">
        <f>+VLOOKUP(E41,'DINH MUC CHI PHI VH'!$C$4:$K$102,9,0)</f>
        <v>#N/A</v>
      </c>
      <c r="X41" s="474" t="e">
        <f>+VLOOKUP(E41,'DINH MUC CHI PHI VH'!$C$4:$K$102,6,0)</f>
        <v>#N/A</v>
      </c>
      <c r="Y41" s="393" t="e">
        <f t="shared" si="18"/>
        <v>#N/A</v>
      </c>
      <c r="Z41" s="397" t="e">
        <f t="shared" si="19"/>
        <v>#N/A</v>
      </c>
      <c r="AA41" s="382"/>
      <c r="AG41" s="138" t="e">
        <f>VLOOKUP(E41,'DINH MUC CHI PHI VH'!$C$4:$P$102,14,0)</f>
        <v>#N/A</v>
      </c>
    </row>
    <row r="42" spans="2:33" s="138" customFormat="1" ht="20.25" customHeight="1">
      <c r="B42" s="415"/>
      <c r="C42" s="580">
        <v>46241</v>
      </c>
      <c r="D42" s="347" t="str">
        <f t="shared" si="17"/>
        <v>Fri</v>
      </c>
      <c r="E42" s="403"/>
      <c r="F42" s="348"/>
      <c r="G42" s="573"/>
      <c r="H42" s="573"/>
      <c r="I42" s="536"/>
      <c r="J42" s="349"/>
      <c r="K42" s="349"/>
      <c r="L42" s="349"/>
      <c r="M42" s="349">
        <f t="shared" si="6"/>
        <v>2194.1538461538371</v>
      </c>
      <c r="N42" s="349">
        <f t="shared" si="15"/>
        <v>0</v>
      </c>
      <c r="O42" s="581">
        <v>46242</v>
      </c>
      <c r="P42" s="404">
        <v>2.2083333333333299</v>
      </c>
      <c r="Q42" s="581">
        <v>46242</v>
      </c>
      <c r="R42" s="405">
        <v>1.75</v>
      </c>
      <c r="S42" s="406">
        <f t="shared" si="7"/>
        <v>-11.000000000058208</v>
      </c>
      <c r="T42" s="349">
        <f t="shared" si="10"/>
        <v>0</v>
      </c>
      <c r="U42" s="242" t="e">
        <f>+VLOOKUP(E42,'DINH MUC CHI PHI VH'!$C$4:$K$102,7,0)</f>
        <v>#N/A</v>
      </c>
      <c r="V42" s="242" t="e">
        <f>VLOOKUP(E42, 'DINH MUC CHI PHI VH'!$C$4:$N$102, 12, 0) * F42</f>
        <v>#N/A</v>
      </c>
      <c r="W42" s="242" t="e">
        <f>+VLOOKUP(E42,'DINH MUC CHI PHI VH'!$C$4:$K$102,9,0)</f>
        <v>#N/A</v>
      </c>
      <c r="X42" s="242" t="e">
        <f>+VLOOKUP(E42,'DINH MUC CHI PHI VH'!$C$4:$K$102,6,0)</f>
        <v>#N/A</v>
      </c>
      <c r="Y42" s="349" t="e">
        <f t="shared" si="18"/>
        <v>#N/A</v>
      </c>
      <c r="Z42" s="401" t="e">
        <f t="shared" si="19"/>
        <v>#N/A</v>
      </c>
      <c r="AA42" s="365"/>
      <c r="AG42" s="138" t="e">
        <f>VLOOKUP(E42,'DINH MUC CHI PHI VH'!$C$4:$P$102,14,0)</f>
        <v>#N/A</v>
      </c>
    </row>
    <row r="43" spans="2:33" s="138" customFormat="1" ht="20.25" customHeight="1">
      <c r="B43" s="383"/>
      <c r="C43" s="580">
        <v>46242</v>
      </c>
      <c r="D43" s="304" t="str">
        <f t="shared" si="17"/>
        <v>Sat</v>
      </c>
      <c r="E43" s="384"/>
      <c r="F43" s="306"/>
      <c r="G43" s="572"/>
      <c r="H43" s="572"/>
      <c r="I43" s="535"/>
      <c r="J43" s="305"/>
      <c r="K43" s="305"/>
      <c r="L43" s="305"/>
      <c r="M43" s="305">
        <f t="shared" si="6"/>
        <v>2314.5384615384596</v>
      </c>
      <c r="N43" s="305">
        <f t="shared" si="15"/>
        <v>0</v>
      </c>
      <c r="O43" s="581">
        <v>46243</v>
      </c>
      <c r="P43" s="386">
        <v>2.25</v>
      </c>
      <c r="Q43" s="581">
        <v>46243</v>
      </c>
      <c r="R43" s="387">
        <v>1.7916666666666701</v>
      </c>
      <c r="S43" s="388">
        <f t="shared" si="7"/>
        <v>-11.000000000058208</v>
      </c>
      <c r="T43" s="349">
        <f t="shared" si="10"/>
        <v>0</v>
      </c>
      <c r="U43" s="242" t="e">
        <f>+VLOOKUP(E43,'DINH MUC CHI PHI VH'!$C$4:$K$102,7,0)</f>
        <v>#N/A</v>
      </c>
      <c r="V43" s="242" t="e">
        <f>VLOOKUP(E43, 'DINH MUC CHI PHI VH'!$C$4:$N$102, 12, 0) * F43</f>
        <v>#N/A</v>
      </c>
      <c r="W43" s="242" t="e">
        <f>+VLOOKUP(E43,'DINH MUC CHI PHI VH'!$C$4:$K$102,9,0)</f>
        <v>#N/A</v>
      </c>
      <c r="X43" s="242" t="e">
        <f>+VLOOKUP(E43,'DINH MUC CHI PHI VH'!$C$4:$K$102,6,0)</f>
        <v>#N/A</v>
      </c>
      <c r="Y43" s="305" t="e">
        <f t="shared" si="18"/>
        <v>#N/A</v>
      </c>
      <c r="Z43" s="389" t="e">
        <f t="shared" si="19"/>
        <v>#N/A</v>
      </c>
      <c r="AA43" s="382"/>
      <c r="AB43" s="382"/>
      <c r="AC43" s="382"/>
      <c r="AD43" s="382"/>
      <c r="AE43" s="382"/>
      <c r="AG43" s="138" t="e">
        <f>VLOOKUP(E43,'DINH MUC CHI PHI VH'!$C$4:$P$102,14,0)</f>
        <v>#N/A</v>
      </c>
    </row>
    <row r="44" spans="2:33" s="138" customFormat="1" ht="20.25" customHeight="1">
      <c r="B44" s="645" t="s">
        <v>154</v>
      </c>
      <c r="C44" s="580">
        <v>46243</v>
      </c>
      <c r="D44" s="304" t="str">
        <f t="shared" si="17"/>
        <v>Sun</v>
      </c>
      <c r="E44" s="384"/>
      <c r="F44" s="306"/>
      <c r="G44" s="572"/>
      <c r="H44" s="572"/>
      <c r="I44" s="535"/>
      <c r="J44" s="305"/>
      <c r="K44" s="305"/>
      <c r="L44" s="305">
        <v>0</v>
      </c>
      <c r="M44" s="305">
        <f t="shared" si="6"/>
        <v>2434.9230769230821</v>
      </c>
      <c r="N44" s="305">
        <f t="shared" si="15"/>
        <v>0</v>
      </c>
      <c r="O44" s="581">
        <v>46244</v>
      </c>
      <c r="P44" s="386">
        <v>2.2916666666666701</v>
      </c>
      <c r="Q44" s="581">
        <v>46244</v>
      </c>
      <c r="R44" s="387">
        <v>1.8333333333333299</v>
      </c>
      <c r="S44" s="388">
        <f t="shared" si="7"/>
        <v>-10.999999999883585</v>
      </c>
      <c r="T44" s="349">
        <f t="shared" si="10"/>
        <v>0</v>
      </c>
      <c r="U44" s="242" t="e">
        <f>+VLOOKUP(E44,'DINH MUC CHI PHI VH'!$C$4:$K$102,7,0)</f>
        <v>#N/A</v>
      </c>
      <c r="V44" s="242" t="e">
        <f>VLOOKUP(E44, 'DINH MUC CHI PHI VH'!$C$4:$N$102, 12, 0) * F44</f>
        <v>#N/A</v>
      </c>
      <c r="W44" s="242" t="e">
        <f>+VLOOKUP(E44,'DINH MUC CHI PHI VH'!$C$4:$K$102,9,0)</f>
        <v>#N/A</v>
      </c>
      <c r="X44" s="242" t="e">
        <f>+VLOOKUP(E44,'DINH MUC CHI PHI VH'!$C$4:$K$102,6,0)</f>
        <v>#N/A</v>
      </c>
      <c r="Y44" s="305" t="e">
        <f t="shared" si="18"/>
        <v>#N/A</v>
      </c>
      <c r="Z44" s="389" t="e">
        <f t="shared" si="19"/>
        <v>#N/A</v>
      </c>
      <c r="AA44" s="382"/>
      <c r="AB44" s="365"/>
      <c r="AC44" s="365"/>
      <c r="AD44" s="365"/>
      <c r="AG44" s="138" t="e">
        <f>VLOOKUP(E44,'DINH MUC CHI PHI VH'!$C$4:$P$102,14,0)</f>
        <v>#N/A</v>
      </c>
    </row>
    <row r="45" spans="2:33" s="138" customFormat="1" ht="20.25" customHeight="1">
      <c r="B45" s="645"/>
      <c r="C45" s="580">
        <v>46244</v>
      </c>
      <c r="D45" s="304" t="str">
        <f t="shared" si="17"/>
        <v>Mon</v>
      </c>
      <c r="E45" s="384"/>
      <c r="F45" s="306"/>
      <c r="G45" s="572"/>
      <c r="H45" s="572"/>
      <c r="I45" s="535"/>
      <c r="J45" s="305"/>
      <c r="K45" s="305"/>
      <c r="L45" s="305"/>
      <c r="M45" s="305">
        <f t="shared" si="6"/>
        <v>2434.9230769230776</v>
      </c>
      <c r="N45" s="305">
        <f t="shared" si="15"/>
        <v>0</v>
      </c>
      <c r="O45" s="581">
        <v>46245</v>
      </c>
      <c r="P45" s="386">
        <v>2.3333333333333299</v>
      </c>
      <c r="Q45" s="581">
        <v>46245</v>
      </c>
      <c r="R45" s="387">
        <v>1.875</v>
      </c>
      <c r="S45" s="388">
        <f t="shared" si="7"/>
        <v>-11.000000000058208</v>
      </c>
      <c r="T45" s="349">
        <f t="shared" si="10"/>
        <v>0</v>
      </c>
      <c r="U45" s="242" t="e">
        <f>+VLOOKUP(E45,'DINH MUC CHI PHI VH'!$C$4:$K$102,7,0)</f>
        <v>#N/A</v>
      </c>
      <c r="V45" s="242" t="e">
        <f>VLOOKUP(E45, 'DINH MUC CHI PHI VH'!$C$4:$N$102, 12, 0) * F45</f>
        <v>#N/A</v>
      </c>
      <c r="W45" s="242" t="e">
        <f>+VLOOKUP(E45,'DINH MUC CHI PHI VH'!$C$4:$K$102,9,0)</f>
        <v>#N/A</v>
      </c>
      <c r="X45" s="242" t="e">
        <f>+VLOOKUP(E45,'DINH MUC CHI PHI VH'!$C$4:$K$102,6,0)</f>
        <v>#N/A</v>
      </c>
      <c r="Y45" s="305" t="e">
        <f t="shared" si="18"/>
        <v>#N/A</v>
      </c>
      <c r="Z45" s="389" t="e">
        <f t="shared" si="19"/>
        <v>#N/A</v>
      </c>
      <c r="AA45" s="382"/>
      <c r="AB45" s="365"/>
      <c r="AC45" s="365"/>
      <c r="AD45" s="365"/>
      <c r="AG45" s="138" t="e">
        <f>VLOOKUP(E45,'DINH MUC CHI PHI VH'!$C$4:$P$102,14,0)</f>
        <v>#N/A</v>
      </c>
    </row>
    <row r="46" spans="2:33" s="138" customFormat="1" ht="20.25" customHeight="1">
      <c r="B46" s="645"/>
      <c r="C46" s="580">
        <v>46245</v>
      </c>
      <c r="D46" s="304" t="str">
        <f t="shared" si="17"/>
        <v>Tue</v>
      </c>
      <c r="E46" s="384"/>
      <c r="F46" s="385"/>
      <c r="G46" s="572"/>
      <c r="H46" s="572"/>
      <c r="I46" s="537"/>
      <c r="J46" s="305"/>
      <c r="K46" s="305"/>
      <c r="L46" s="305"/>
      <c r="M46" s="305">
        <f t="shared" si="6"/>
        <v>2434.9230769230753</v>
      </c>
      <c r="N46" s="305">
        <f t="shared" si="15"/>
        <v>0</v>
      </c>
      <c r="O46" s="581">
        <v>46246</v>
      </c>
      <c r="P46" s="386">
        <v>2.375</v>
      </c>
      <c r="Q46" s="581">
        <v>46246</v>
      </c>
      <c r="R46" s="387">
        <v>1.9166666666666701</v>
      </c>
      <c r="S46" s="388">
        <f t="shared" si="7"/>
        <v>-11.000000000058208</v>
      </c>
      <c r="T46" s="349">
        <f t="shared" si="10"/>
        <v>0</v>
      </c>
      <c r="U46" s="242" t="e">
        <f>+VLOOKUP(E46,'DINH MUC CHI PHI VH'!$C$4:$K$102,7,0)</f>
        <v>#N/A</v>
      </c>
      <c r="V46" s="242" t="e">
        <f>VLOOKUP(E46, 'DINH MUC CHI PHI VH'!$C$4:$N$102, 12, 0) * F46</f>
        <v>#N/A</v>
      </c>
      <c r="W46" s="242" t="e">
        <f>+VLOOKUP(E46,'DINH MUC CHI PHI VH'!$C$4:$K$102,9,0)</f>
        <v>#N/A</v>
      </c>
      <c r="X46" s="242" t="e">
        <f>+VLOOKUP(E46,'DINH MUC CHI PHI VH'!$C$4:$K$102,6,0)</f>
        <v>#N/A</v>
      </c>
      <c r="Y46" s="305" t="e">
        <f t="shared" si="18"/>
        <v>#N/A</v>
      </c>
      <c r="Z46" s="389" t="e">
        <f t="shared" si="19"/>
        <v>#N/A</v>
      </c>
      <c r="AA46" s="382"/>
      <c r="AG46" s="138" t="e">
        <f>VLOOKUP(E46,'DINH MUC CHI PHI VH'!$C$4:$P$102,14,0)</f>
        <v>#N/A</v>
      </c>
    </row>
    <row r="47" spans="2:33" s="138" customFormat="1" ht="20.25" customHeight="1">
      <c r="B47" s="645"/>
      <c r="C47" s="580">
        <v>46246</v>
      </c>
      <c r="D47" s="304" t="str">
        <f t="shared" si="17"/>
        <v>Wed</v>
      </c>
      <c r="E47" s="384"/>
      <c r="F47" s="385"/>
      <c r="G47" s="572"/>
      <c r="H47" s="572"/>
      <c r="I47" s="537"/>
      <c r="J47" s="305"/>
      <c r="K47" s="305"/>
      <c r="L47" s="305"/>
      <c r="M47" s="305">
        <f t="shared" si="6"/>
        <v>2325.2692307692273</v>
      </c>
      <c r="N47" s="305">
        <f t="shared" si="15"/>
        <v>0</v>
      </c>
      <c r="O47" s="581">
        <v>46247</v>
      </c>
      <c r="P47" s="386">
        <v>2.4166666666666701</v>
      </c>
      <c r="Q47" s="581">
        <v>46247</v>
      </c>
      <c r="R47" s="387">
        <v>1.9583333333333299</v>
      </c>
      <c r="S47" s="388">
        <f t="shared" si="7"/>
        <v>-10.999999999883585</v>
      </c>
      <c r="T47" s="349">
        <f t="shared" si="10"/>
        <v>0</v>
      </c>
      <c r="U47" s="242" t="e">
        <f>+VLOOKUP(E47,'DINH MUC CHI PHI VH'!$C$4:$K$102,7,0)</f>
        <v>#N/A</v>
      </c>
      <c r="V47" s="242" t="e">
        <f>VLOOKUP(E47, 'DINH MUC CHI PHI VH'!$C$4:$N$102, 12, 0) * F47</f>
        <v>#N/A</v>
      </c>
      <c r="W47" s="242" t="e">
        <f>+VLOOKUP(E47,'DINH MUC CHI PHI VH'!$C$4:$K$102,9,0)</f>
        <v>#N/A</v>
      </c>
      <c r="X47" s="242" t="e">
        <f>+VLOOKUP(E47,'DINH MUC CHI PHI VH'!$C$4:$K$102,6,0)</f>
        <v>#N/A</v>
      </c>
      <c r="Y47" s="305" t="e">
        <f t="shared" si="18"/>
        <v>#N/A</v>
      </c>
      <c r="Z47" s="389" t="e">
        <f t="shared" si="19"/>
        <v>#N/A</v>
      </c>
      <c r="AA47" s="382"/>
      <c r="AG47" s="138" t="e">
        <f>VLOOKUP(E47,'DINH MUC CHI PHI VH'!$C$4:$P$102,14,0)</f>
        <v>#N/A</v>
      </c>
    </row>
    <row r="48" spans="2:33" s="138" customFormat="1" ht="20.25" customHeight="1">
      <c r="B48" s="645"/>
      <c r="C48" s="580">
        <v>46247</v>
      </c>
      <c r="D48" s="304" t="str">
        <f t="shared" si="17"/>
        <v>Thu</v>
      </c>
      <c r="E48" s="384"/>
      <c r="F48" s="385"/>
      <c r="G48" s="572"/>
      <c r="H48" s="572"/>
      <c r="I48" s="537"/>
      <c r="J48" s="305"/>
      <c r="K48" s="305"/>
      <c r="L48" s="305"/>
      <c r="M48" s="305">
        <f t="shared" si="6"/>
        <v>2155.4230769230676</v>
      </c>
      <c r="N48" s="305">
        <f t="shared" si="15"/>
        <v>0</v>
      </c>
      <c r="O48" s="581">
        <v>46248</v>
      </c>
      <c r="P48" s="386">
        <v>2.4583333333333299</v>
      </c>
      <c r="Q48" s="581">
        <v>46248</v>
      </c>
      <c r="R48" s="387">
        <v>2</v>
      </c>
      <c r="S48" s="388">
        <f t="shared" si="7"/>
        <v>-11.000000000058208</v>
      </c>
      <c r="T48" s="349">
        <f t="shared" si="10"/>
        <v>0</v>
      </c>
      <c r="U48" s="242" t="e">
        <f>+VLOOKUP(E48,'DINH MUC CHI PHI VH'!$C$4:$K$102,7,0)</f>
        <v>#N/A</v>
      </c>
      <c r="V48" s="242" t="e">
        <f>VLOOKUP(E48, 'DINH MUC CHI PHI VH'!$C$4:$N$102, 12, 0) * F48</f>
        <v>#N/A</v>
      </c>
      <c r="W48" s="242" t="e">
        <f>+VLOOKUP(E48,'DINH MUC CHI PHI VH'!$C$4:$K$102,9,0)</f>
        <v>#N/A</v>
      </c>
      <c r="X48" s="242" t="e">
        <f>+VLOOKUP(E48,'DINH MUC CHI PHI VH'!$C$4:$K$102,6,0)</f>
        <v>#N/A</v>
      </c>
      <c r="Y48" s="305" t="e">
        <f t="shared" si="18"/>
        <v>#N/A</v>
      </c>
      <c r="Z48" s="389" t="e">
        <f t="shared" si="19"/>
        <v>#N/A</v>
      </c>
      <c r="AA48" s="382"/>
      <c r="AG48" s="138" t="e">
        <f>VLOOKUP(E48,'DINH MUC CHI PHI VH'!$C$4:$P$102,14,0)</f>
        <v>#N/A</v>
      </c>
    </row>
    <row r="49" spans="2:33" s="138" customFormat="1" ht="20.25" customHeight="1">
      <c r="B49" s="645"/>
      <c r="C49" s="580">
        <v>46248</v>
      </c>
      <c r="D49" s="304" t="str">
        <f t="shared" si="17"/>
        <v>Fri</v>
      </c>
      <c r="E49" s="384"/>
      <c r="F49" s="385"/>
      <c r="G49" s="572"/>
      <c r="H49" s="572"/>
      <c r="I49" s="537"/>
      <c r="J49" s="305"/>
      <c r="K49" s="305"/>
      <c r="L49" s="305"/>
      <c r="M49" s="305">
        <f t="shared" si="6"/>
        <v>2045.7692307692137</v>
      </c>
      <c r="N49" s="305">
        <f t="shared" si="15"/>
        <v>0</v>
      </c>
      <c r="O49" s="581">
        <v>46249</v>
      </c>
      <c r="P49" s="386">
        <v>2.5</v>
      </c>
      <c r="Q49" s="581">
        <v>46249</v>
      </c>
      <c r="R49" s="387">
        <v>2.0416666666666701</v>
      </c>
      <c r="S49" s="388">
        <f t="shared" si="7"/>
        <v>-11.000000000058208</v>
      </c>
      <c r="T49" s="349">
        <f t="shared" si="10"/>
        <v>0</v>
      </c>
      <c r="U49" s="242" t="e">
        <f>+VLOOKUP(E49,'DINH MUC CHI PHI VH'!$C$4:$K$102,7,0)</f>
        <v>#N/A</v>
      </c>
      <c r="V49" s="242" t="e">
        <f>VLOOKUP(E49, 'DINH MUC CHI PHI VH'!$C$4:$N$102, 12, 0) * F49</f>
        <v>#N/A</v>
      </c>
      <c r="W49" s="242" t="e">
        <f>+VLOOKUP(E49,'DINH MUC CHI PHI VH'!$C$4:$K$102,9,0)</f>
        <v>#N/A</v>
      </c>
      <c r="X49" s="242" t="e">
        <f>+VLOOKUP(E49,'DINH MUC CHI PHI VH'!$C$4:$K$102,6,0)</f>
        <v>#N/A</v>
      </c>
      <c r="Y49" s="305" t="e">
        <f t="shared" si="18"/>
        <v>#N/A</v>
      </c>
      <c r="Z49" s="389" t="e">
        <f t="shared" si="19"/>
        <v>#N/A</v>
      </c>
      <c r="AA49" s="382"/>
      <c r="AB49" s="163"/>
      <c r="AG49" s="138" t="e">
        <f>VLOOKUP(E49,'DINH MUC CHI PHI VH'!$C$4:$P$102,14,0)</f>
        <v>#N/A</v>
      </c>
    </row>
    <row r="50" spans="2:33" s="138" customFormat="1" ht="20.25" customHeight="1">
      <c r="B50" s="645"/>
      <c r="C50" s="580">
        <v>46249</v>
      </c>
      <c r="D50" s="304" t="str">
        <f t="shared" si="17"/>
        <v>Sat</v>
      </c>
      <c r="E50" s="384"/>
      <c r="F50" s="385"/>
      <c r="G50" s="572"/>
      <c r="H50" s="572"/>
      <c r="I50" s="537"/>
      <c r="J50" s="305"/>
      <c r="K50" s="305"/>
      <c r="L50" s="305">
        <v>0</v>
      </c>
      <c r="M50" s="305">
        <f t="shared" si="6"/>
        <v>1996.3076923076665</v>
      </c>
      <c r="N50" s="305">
        <f t="shared" si="15"/>
        <v>0</v>
      </c>
      <c r="O50" s="581">
        <v>46250</v>
      </c>
      <c r="P50" s="386">
        <v>2.5416666666666701</v>
      </c>
      <c r="Q50" s="581">
        <v>46250</v>
      </c>
      <c r="R50" s="387">
        <v>2.0833333333333299</v>
      </c>
      <c r="S50" s="388">
        <f t="shared" si="7"/>
        <v>-10.999999999883585</v>
      </c>
      <c r="T50" s="349">
        <f t="shared" si="10"/>
        <v>0</v>
      </c>
      <c r="U50" s="242" t="e">
        <f>+VLOOKUP(E50,'DINH MUC CHI PHI VH'!$C$4:$K$102,7,0)</f>
        <v>#N/A</v>
      </c>
      <c r="V50" s="242" t="e">
        <f>VLOOKUP(E50, 'DINH MUC CHI PHI VH'!$C$4:$N$102, 12, 0) * F50</f>
        <v>#N/A</v>
      </c>
      <c r="W50" s="242" t="e">
        <f>+VLOOKUP(E50,'DINH MUC CHI PHI VH'!$C$4:$K$102,9,0)</f>
        <v>#N/A</v>
      </c>
      <c r="X50" s="242" t="e">
        <f>+VLOOKUP(E50,'DINH MUC CHI PHI VH'!$C$4:$K$102,6,0)</f>
        <v>#N/A</v>
      </c>
      <c r="Y50" s="305" t="e">
        <f t="shared" si="18"/>
        <v>#N/A</v>
      </c>
      <c r="Z50" s="389" t="e">
        <f t="shared" si="19"/>
        <v>#N/A</v>
      </c>
      <c r="AA50" s="163"/>
      <c r="AG50" s="138" t="e">
        <f>VLOOKUP(E50,'DINH MUC CHI PHI VH'!$C$4:$P$102,14,0)</f>
        <v>#N/A</v>
      </c>
    </row>
    <row r="51" spans="2:33" s="138" customFormat="1" ht="20.25" customHeight="1">
      <c r="B51" s="645"/>
      <c r="C51" s="580">
        <v>46250</v>
      </c>
      <c r="D51" s="304" t="str">
        <f t="shared" si="17"/>
        <v>Sun</v>
      </c>
      <c r="E51" s="384"/>
      <c r="F51" s="306"/>
      <c r="G51" s="572"/>
      <c r="H51" s="572"/>
      <c r="I51" s="535"/>
      <c r="J51" s="305"/>
      <c r="K51" s="305"/>
      <c r="L51" s="305">
        <v>0</v>
      </c>
      <c r="M51" s="305">
        <f t="shared" si="6"/>
        <v>1946.8461538461188</v>
      </c>
      <c r="N51" s="305">
        <f t="shared" si="15"/>
        <v>0</v>
      </c>
      <c r="O51" s="581">
        <v>46251</v>
      </c>
      <c r="P51" s="386">
        <v>2.5833333333333299</v>
      </c>
      <c r="Q51" s="581">
        <v>46251</v>
      </c>
      <c r="R51" s="387">
        <v>2.125</v>
      </c>
      <c r="S51" s="388">
        <f t="shared" si="7"/>
        <v>-11.000000000058208</v>
      </c>
      <c r="T51" s="349">
        <f t="shared" si="10"/>
        <v>0</v>
      </c>
      <c r="U51" s="242" t="e">
        <f>+VLOOKUP(E51,'DINH MUC CHI PHI VH'!$C$4:$K$102,7,0)</f>
        <v>#N/A</v>
      </c>
      <c r="V51" s="242" t="e">
        <f>VLOOKUP(E51, 'DINH MUC CHI PHI VH'!$C$4:$N$102, 12, 0) * F51</f>
        <v>#N/A</v>
      </c>
      <c r="W51" s="242" t="e">
        <f>+VLOOKUP(E51,'DINH MUC CHI PHI VH'!$C$4:$K$102,9,0)</f>
        <v>#N/A</v>
      </c>
      <c r="X51" s="242" t="e">
        <f>+VLOOKUP(E51,'DINH MUC CHI PHI VH'!$C$4:$K$102,6,0)</f>
        <v>#N/A</v>
      </c>
      <c r="Y51" s="305" t="e">
        <f t="shared" si="18"/>
        <v>#N/A</v>
      </c>
      <c r="Z51" s="389" t="e">
        <f t="shared" si="19"/>
        <v>#N/A</v>
      </c>
      <c r="AA51" s="382"/>
      <c r="AB51" s="163"/>
      <c r="AG51" s="138" t="e">
        <f>VLOOKUP(E51,'DINH MUC CHI PHI VH'!$C$4:$P$102,14,0)</f>
        <v>#N/A</v>
      </c>
    </row>
    <row r="52" spans="2:33" s="138" customFormat="1" ht="20.25" customHeight="1">
      <c r="B52" s="645"/>
      <c r="C52" s="580">
        <v>46251</v>
      </c>
      <c r="D52" s="304" t="str">
        <f t="shared" si="17"/>
        <v>Mon</v>
      </c>
      <c r="E52" s="384"/>
      <c r="F52" s="306"/>
      <c r="G52" s="572"/>
      <c r="H52" s="572"/>
      <c r="I52" s="535"/>
      <c r="J52" s="305"/>
      <c r="K52" s="305"/>
      <c r="L52" s="305">
        <v>0</v>
      </c>
      <c r="M52" s="305">
        <f t="shared" si="6"/>
        <v>1897.3846153845739</v>
      </c>
      <c r="N52" s="305">
        <f t="shared" si="15"/>
        <v>0</v>
      </c>
      <c r="O52" s="581">
        <v>46252</v>
      </c>
      <c r="P52" s="386">
        <v>2.625</v>
      </c>
      <c r="Q52" s="581">
        <v>46252</v>
      </c>
      <c r="R52" s="387">
        <v>2.1666666666666701</v>
      </c>
      <c r="S52" s="388">
        <f t="shared" si="7"/>
        <v>-11.000000000058208</v>
      </c>
      <c r="T52" s="349">
        <f t="shared" si="10"/>
        <v>0</v>
      </c>
      <c r="U52" s="242" t="e">
        <f>+VLOOKUP(E52,'DINH MUC CHI PHI VH'!$C$4:$K$102,7,0)</f>
        <v>#N/A</v>
      </c>
      <c r="V52" s="242" t="e">
        <f>VLOOKUP(E52, 'DINH MUC CHI PHI VH'!$C$4:$N$102, 12, 0) * F52</f>
        <v>#N/A</v>
      </c>
      <c r="W52" s="242" t="e">
        <f>+VLOOKUP(E52,'DINH MUC CHI PHI VH'!$C$4:$K$102,9,0)</f>
        <v>#N/A</v>
      </c>
      <c r="X52" s="242" t="e">
        <f>+VLOOKUP(E52,'DINH MUC CHI PHI VH'!$C$4:$K$102,6,0)</f>
        <v>#N/A</v>
      </c>
      <c r="Y52" s="305" t="e">
        <f t="shared" si="18"/>
        <v>#N/A</v>
      </c>
      <c r="Z52" s="389" t="e">
        <f t="shared" si="19"/>
        <v>#N/A</v>
      </c>
      <c r="AA52" s="382"/>
      <c r="AB52" s="163"/>
      <c r="AG52" s="138" t="e">
        <f>VLOOKUP(E52,'DINH MUC CHI PHI VH'!$C$4:$P$102,14,0)</f>
        <v>#N/A</v>
      </c>
    </row>
    <row r="53" spans="2:33" s="138" customFormat="1" ht="20.25" customHeight="1">
      <c r="B53" s="645"/>
      <c r="C53" s="580">
        <v>46252</v>
      </c>
      <c r="D53" s="304" t="str">
        <f t="shared" si="17"/>
        <v>Tue</v>
      </c>
      <c r="E53" s="384"/>
      <c r="F53" s="306"/>
      <c r="G53" s="572"/>
      <c r="H53" s="572"/>
      <c r="I53" s="535"/>
      <c r="J53" s="305"/>
      <c r="K53" s="305"/>
      <c r="L53" s="305">
        <v>0</v>
      </c>
      <c r="M53" s="305">
        <f t="shared" si="6"/>
        <v>1897.3846153845748</v>
      </c>
      <c r="N53" s="305">
        <f t="shared" si="15"/>
        <v>0</v>
      </c>
      <c r="O53" s="581">
        <v>46253</v>
      </c>
      <c r="P53" s="386">
        <v>2.6666666666666701</v>
      </c>
      <c r="Q53" s="581">
        <v>46253</v>
      </c>
      <c r="R53" s="387">
        <v>2.2083333333333299</v>
      </c>
      <c r="S53" s="388">
        <f t="shared" si="7"/>
        <v>-10.999999999883585</v>
      </c>
      <c r="T53" s="349">
        <f t="shared" si="10"/>
        <v>0</v>
      </c>
      <c r="U53" s="242" t="e">
        <f>+VLOOKUP(E53,'DINH MUC CHI PHI VH'!$C$4:$K$102,7,0)</f>
        <v>#N/A</v>
      </c>
      <c r="V53" s="242" t="e">
        <f>VLOOKUP(E53, 'DINH MUC CHI PHI VH'!$C$4:$N$102, 12, 0) * F53</f>
        <v>#N/A</v>
      </c>
      <c r="W53" s="242" t="e">
        <f>+VLOOKUP(E53,'DINH MUC CHI PHI VH'!$C$4:$K$102,9,0)</f>
        <v>#N/A</v>
      </c>
      <c r="X53" s="242" t="e">
        <f>+VLOOKUP(E53,'DINH MUC CHI PHI VH'!$C$4:$K$102,6,0)</f>
        <v>#N/A</v>
      </c>
      <c r="Y53" s="305" t="e">
        <f t="shared" si="18"/>
        <v>#N/A</v>
      </c>
      <c r="Z53" s="389" t="e">
        <f t="shared" si="19"/>
        <v>#N/A</v>
      </c>
      <c r="AA53" s="382"/>
      <c r="AB53" s="163"/>
      <c r="AG53" s="138" t="e">
        <f>VLOOKUP(E53,'DINH MUC CHI PHI VH'!$C$4:$P$102,14,0)</f>
        <v>#N/A</v>
      </c>
    </row>
    <row r="54" spans="2:33" s="138" customFormat="1" ht="20.25" customHeight="1">
      <c r="B54" s="645"/>
      <c r="C54" s="580">
        <v>46253</v>
      </c>
      <c r="D54" s="304" t="str">
        <f t="shared" si="17"/>
        <v>Wed</v>
      </c>
      <c r="E54" s="384"/>
      <c r="F54" s="306"/>
      <c r="G54" s="572"/>
      <c r="H54" s="572"/>
      <c r="I54" s="535"/>
      <c r="J54" s="305"/>
      <c r="K54" s="305"/>
      <c r="L54" s="305">
        <v>0</v>
      </c>
      <c r="M54" s="305">
        <f t="shared" si="6"/>
        <v>1897.3846153845852</v>
      </c>
      <c r="N54" s="305">
        <f t="shared" si="15"/>
        <v>0</v>
      </c>
      <c r="O54" s="581">
        <v>46254</v>
      </c>
      <c r="P54" s="386">
        <v>2.7083333333333299</v>
      </c>
      <c r="Q54" s="581">
        <v>46254</v>
      </c>
      <c r="R54" s="387">
        <v>2.25</v>
      </c>
      <c r="S54" s="388">
        <f t="shared" si="7"/>
        <v>-11.000000000058208</v>
      </c>
      <c r="T54" s="349">
        <f t="shared" si="10"/>
        <v>0</v>
      </c>
      <c r="U54" s="242" t="e">
        <f>+VLOOKUP(E54,'DINH MUC CHI PHI VH'!$C$4:$K$102,7,0)</f>
        <v>#N/A</v>
      </c>
      <c r="V54" s="242" t="e">
        <f>VLOOKUP(E54, 'DINH MUC CHI PHI VH'!$C$4:$N$102, 12, 0) * F54</f>
        <v>#N/A</v>
      </c>
      <c r="W54" s="242" t="e">
        <f>+VLOOKUP(E54,'DINH MUC CHI PHI VH'!$C$4:$K$102,9,0)</f>
        <v>#N/A</v>
      </c>
      <c r="X54" s="242" t="e">
        <f>+VLOOKUP(E54,'DINH MUC CHI PHI VH'!$C$4:$K$102,6,0)</f>
        <v>#N/A</v>
      </c>
      <c r="Y54" s="305" t="e">
        <f t="shared" si="18"/>
        <v>#N/A</v>
      </c>
      <c r="Z54" s="389" t="e">
        <f t="shared" si="19"/>
        <v>#N/A</v>
      </c>
      <c r="AA54" s="382"/>
      <c r="AB54" s="163"/>
      <c r="AG54" s="138" t="e">
        <f>VLOOKUP(E54,'DINH MUC CHI PHI VH'!$C$4:$P$102,14,0)</f>
        <v>#N/A</v>
      </c>
    </row>
    <row r="55" spans="2:33" s="138" customFormat="1" ht="20.25" customHeight="1">
      <c r="B55" s="645"/>
      <c r="C55" s="580">
        <v>46254</v>
      </c>
      <c r="D55" s="304" t="str">
        <f t="shared" si="17"/>
        <v>Thu</v>
      </c>
      <c r="E55" s="384"/>
      <c r="F55" s="306"/>
      <c r="G55" s="572"/>
      <c r="H55" s="572"/>
      <c r="I55" s="535"/>
      <c r="J55" s="305"/>
      <c r="K55" s="305"/>
      <c r="L55" s="305">
        <v>0</v>
      </c>
      <c r="M55" s="305">
        <f t="shared" si="6"/>
        <v>1776.9999999999939</v>
      </c>
      <c r="N55" s="305">
        <f t="shared" si="15"/>
        <v>0</v>
      </c>
      <c r="O55" s="581">
        <v>46255</v>
      </c>
      <c r="P55" s="386">
        <v>2.75</v>
      </c>
      <c r="Q55" s="581">
        <v>46255</v>
      </c>
      <c r="R55" s="387">
        <v>2.2916666666666701</v>
      </c>
      <c r="S55" s="388">
        <f t="shared" si="7"/>
        <v>-11.000000000058208</v>
      </c>
      <c r="T55" s="349">
        <f t="shared" si="10"/>
        <v>0</v>
      </c>
      <c r="U55" s="242" t="e">
        <f>+VLOOKUP(E55,'DINH MUC CHI PHI VH'!$C$4:$K$102,7,0)</f>
        <v>#N/A</v>
      </c>
      <c r="V55" s="242" t="e">
        <f>VLOOKUP(E55, 'DINH MUC CHI PHI VH'!$C$4:$N$102, 12, 0) * F55</f>
        <v>#N/A</v>
      </c>
      <c r="W55" s="242" t="e">
        <f>+VLOOKUP(E55,'DINH MUC CHI PHI VH'!$C$4:$K$102,9,0)</f>
        <v>#N/A</v>
      </c>
      <c r="X55" s="242" t="e">
        <f>+VLOOKUP(E55,'DINH MUC CHI PHI VH'!$C$4:$K$102,6,0)</f>
        <v>#N/A</v>
      </c>
      <c r="Y55" s="305" t="e">
        <f t="shared" si="18"/>
        <v>#N/A</v>
      </c>
      <c r="Z55" s="389" t="e">
        <f t="shared" si="19"/>
        <v>#N/A</v>
      </c>
      <c r="AA55" s="163"/>
      <c r="AG55" s="138" t="e">
        <f>VLOOKUP(E55,'DINH MUC CHI PHI VH'!$C$4:$P$102,14,0)</f>
        <v>#N/A</v>
      </c>
    </row>
    <row r="56" spans="2:33" s="138" customFormat="1" ht="20.25" customHeight="1">
      <c r="B56" s="645"/>
      <c r="C56" s="580">
        <v>46255</v>
      </c>
      <c r="D56" s="304" t="str">
        <f t="shared" si="17"/>
        <v>Fri</v>
      </c>
      <c r="E56" s="384"/>
      <c r="F56" s="306"/>
      <c r="G56" s="572"/>
      <c r="H56" s="572"/>
      <c r="I56" s="535"/>
      <c r="J56" s="305"/>
      <c r="K56" s="305"/>
      <c r="L56" s="305">
        <v>0</v>
      </c>
      <c r="M56" s="305">
        <f t="shared" si="6"/>
        <v>1656.6153846153857</v>
      </c>
      <c r="N56" s="305">
        <f t="shared" si="15"/>
        <v>0</v>
      </c>
      <c r="O56" s="581">
        <v>46256</v>
      </c>
      <c r="P56" s="386">
        <v>2.7916666666666701</v>
      </c>
      <c r="Q56" s="581">
        <v>46256</v>
      </c>
      <c r="R56" s="387">
        <v>2.3333333333333299</v>
      </c>
      <c r="S56" s="388">
        <f t="shared" si="7"/>
        <v>-10.999999999883585</v>
      </c>
      <c r="T56" s="349">
        <f t="shared" si="10"/>
        <v>0</v>
      </c>
      <c r="U56" s="242" t="e">
        <f>+VLOOKUP(E56,'DINH MUC CHI PHI VH'!$C$4:$K$102,7,0)</f>
        <v>#N/A</v>
      </c>
      <c r="V56" s="242" t="e">
        <f>VLOOKUP(E56, 'DINH MUC CHI PHI VH'!$C$4:$N$102, 12, 0) * F56</f>
        <v>#N/A</v>
      </c>
      <c r="W56" s="242" t="e">
        <f>+VLOOKUP(E56,'DINH MUC CHI PHI VH'!$C$4:$K$102,9,0)</f>
        <v>#N/A</v>
      </c>
      <c r="X56" s="242" t="e">
        <f>+VLOOKUP(E56,'DINH MUC CHI PHI VH'!$C$4:$K$102,6,0)</f>
        <v>#N/A</v>
      </c>
      <c r="Y56" s="305" t="e">
        <f t="shared" si="18"/>
        <v>#N/A</v>
      </c>
      <c r="Z56" s="389" t="e">
        <f t="shared" si="19"/>
        <v>#N/A</v>
      </c>
      <c r="AA56" s="382"/>
      <c r="AB56" s="382"/>
      <c r="AG56" s="138" t="e">
        <f>VLOOKUP(E56,'DINH MUC CHI PHI VH'!$C$4:$P$102,14,0)</f>
        <v>#N/A</v>
      </c>
    </row>
    <row r="57" spans="2:33" s="138" customFormat="1" ht="20.25" customHeight="1">
      <c r="B57" s="645"/>
      <c r="C57" s="580">
        <v>46256</v>
      </c>
      <c r="D57" s="304" t="str">
        <f t="shared" si="17"/>
        <v>Sat</v>
      </c>
      <c r="E57" s="384"/>
      <c r="F57" s="306"/>
      <c r="G57" s="572"/>
      <c r="H57" s="572"/>
      <c r="I57" s="535"/>
      <c r="J57" s="305"/>
      <c r="K57" s="305"/>
      <c r="L57" s="305">
        <v>0</v>
      </c>
      <c r="M57" s="305">
        <f t="shared" si="6"/>
        <v>1536.2307692307547</v>
      </c>
      <c r="N57" s="305">
        <f t="shared" si="15"/>
        <v>0</v>
      </c>
      <c r="O57" s="581">
        <v>46257</v>
      </c>
      <c r="P57" s="386">
        <v>2.8333333333333299</v>
      </c>
      <c r="Q57" s="581">
        <v>46257</v>
      </c>
      <c r="R57" s="387">
        <v>2.375</v>
      </c>
      <c r="S57" s="388">
        <f t="shared" si="7"/>
        <v>-11.000000000058208</v>
      </c>
      <c r="T57" s="349">
        <f t="shared" si="10"/>
        <v>0</v>
      </c>
      <c r="U57" s="242" t="e">
        <f>+VLOOKUP(E57,'DINH MUC CHI PHI VH'!$C$4:$K$102,7,0)</f>
        <v>#N/A</v>
      </c>
      <c r="V57" s="242" t="e">
        <f>VLOOKUP(E57, 'DINH MUC CHI PHI VH'!$C$4:$N$102, 12, 0) * F57</f>
        <v>#N/A</v>
      </c>
      <c r="W57" s="242" t="e">
        <f>+VLOOKUP(E57,'DINH MUC CHI PHI VH'!$C$4:$K$102,9,0)</f>
        <v>#N/A</v>
      </c>
      <c r="X57" s="242" t="e">
        <f>+VLOOKUP(E57,'DINH MUC CHI PHI VH'!$C$4:$K$102,6,0)</f>
        <v>#N/A</v>
      </c>
      <c r="Y57" s="305" t="e">
        <f t="shared" si="18"/>
        <v>#N/A</v>
      </c>
      <c r="Z57" s="389" t="e">
        <f t="shared" si="19"/>
        <v>#N/A</v>
      </c>
      <c r="AA57" s="382"/>
      <c r="AB57" s="382"/>
      <c r="AG57" s="138" t="e">
        <f>VLOOKUP(E57,'DINH MUC CHI PHI VH'!$C$4:$P$102,14,0)</f>
        <v>#N/A</v>
      </c>
    </row>
    <row r="58" spans="2:33" s="138" customFormat="1" ht="20.25" customHeight="1">
      <c r="B58" s="645"/>
      <c r="C58" s="580">
        <v>46257</v>
      </c>
      <c r="D58" s="304" t="str">
        <f t="shared" si="17"/>
        <v>Sun</v>
      </c>
      <c r="E58" s="384"/>
      <c r="F58" s="306"/>
      <c r="G58" s="572"/>
      <c r="H58" s="572"/>
      <c r="I58" s="535"/>
      <c r="J58" s="305"/>
      <c r="K58" s="305"/>
      <c r="L58" s="305">
        <v>0</v>
      </c>
      <c r="M58" s="305">
        <f t="shared" si="6"/>
        <v>1596.4230769230603</v>
      </c>
      <c r="N58" s="305">
        <f t="shared" si="15"/>
        <v>0</v>
      </c>
      <c r="O58" s="581">
        <v>46258</v>
      </c>
      <c r="P58" s="386">
        <v>2.875</v>
      </c>
      <c r="Q58" s="581">
        <v>46258</v>
      </c>
      <c r="R58" s="387">
        <v>2.4166666666666701</v>
      </c>
      <c r="S58" s="388">
        <f t="shared" si="7"/>
        <v>-11.000000000058208</v>
      </c>
      <c r="T58" s="349">
        <f t="shared" si="10"/>
        <v>0</v>
      </c>
      <c r="U58" s="242" t="e">
        <f>+VLOOKUP(E58,'DINH MUC CHI PHI VH'!$C$4:$K$102,7,0)</f>
        <v>#N/A</v>
      </c>
      <c r="V58" s="242" t="e">
        <f>VLOOKUP(E58, 'DINH MUC CHI PHI VH'!$C$4:$N$102, 12, 0) * F58</f>
        <v>#N/A</v>
      </c>
      <c r="W58" s="242" t="e">
        <f>+VLOOKUP(E58,'DINH MUC CHI PHI VH'!$C$4:$K$102,9,0)</f>
        <v>#N/A</v>
      </c>
      <c r="X58" s="242" t="e">
        <f>+VLOOKUP(E58,'DINH MUC CHI PHI VH'!$C$4:$K$102,6,0)</f>
        <v>#N/A</v>
      </c>
      <c r="Y58" s="305" t="e">
        <f t="shared" si="18"/>
        <v>#N/A</v>
      </c>
      <c r="Z58" s="389" t="e">
        <f t="shared" si="19"/>
        <v>#N/A</v>
      </c>
      <c r="AA58" s="382"/>
      <c r="AB58" s="382"/>
      <c r="AG58" s="138" t="e">
        <f>VLOOKUP(E58,'DINH MUC CHI PHI VH'!$C$4:$P$102,14,0)</f>
        <v>#N/A</v>
      </c>
    </row>
    <row r="59" spans="2:33" s="138" customFormat="1" ht="20.25" customHeight="1">
      <c r="B59" s="645"/>
      <c r="C59" s="580">
        <v>46258</v>
      </c>
      <c r="D59" s="304" t="str">
        <f t="shared" si="17"/>
        <v>Mon</v>
      </c>
      <c r="E59" s="384"/>
      <c r="F59" s="385"/>
      <c r="G59" s="572"/>
      <c r="H59" s="572"/>
      <c r="I59" s="537"/>
      <c r="J59" s="305"/>
      <c r="K59" s="305"/>
      <c r="L59" s="305">
        <v>0</v>
      </c>
      <c r="M59" s="305">
        <f t="shared" si="6"/>
        <v>1716.8076923076856</v>
      </c>
      <c r="N59" s="305">
        <f t="shared" si="15"/>
        <v>0</v>
      </c>
      <c r="O59" s="581">
        <v>46259</v>
      </c>
      <c r="P59" s="386">
        <v>2.9166666666666701</v>
      </c>
      <c r="Q59" s="581">
        <v>46259</v>
      </c>
      <c r="R59" s="387">
        <v>2.4583333333333299</v>
      </c>
      <c r="S59" s="388">
        <f t="shared" si="7"/>
        <v>-10.999999999883585</v>
      </c>
      <c r="T59" s="349">
        <f t="shared" si="10"/>
        <v>0</v>
      </c>
      <c r="U59" s="242" t="e">
        <f>+VLOOKUP(E59,'DINH MUC CHI PHI VH'!$C$4:$K$102,7,0)</f>
        <v>#N/A</v>
      </c>
      <c r="V59" s="242" t="e">
        <f>VLOOKUP(E59, 'DINH MUC CHI PHI VH'!$C$4:$N$102, 12, 0) * F59</f>
        <v>#N/A</v>
      </c>
      <c r="W59" s="242" t="e">
        <f>+VLOOKUP(E59,'DINH MUC CHI PHI VH'!$C$4:$K$102,9,0)</f>
        <v>#N/A</v>
      </c>
      <c r="X59" s="242" t="e">
        <f>+VLOOKUP(E59,'DINH MUC CHI PHI VH'!$C$4:$K$102,6,0)</f>
        <v>#N/A</v>
      </c>
      <c r="Y59" s="305" t="e">
        <f t="shared" si="18"/>
        <v>#N/A</v>
      </c>
      <c r="Z59" s="389" t="e">
        <f t="shared" si="19"/>
        <v>#N/A</v>
      </c>
      <c r="AA59" s="382"/>
      <c r="AB59" s="382"/>
      <c r="AG59" s="138" t="e">
        <f>VLOOKUP(E59,'DINH MUC CHI PHI VH'!$C$4:$P$102,14,0)</f>
        <v>#N/A</v>
      </c>
    </row>
    <row r="60" spans="2:33" s="138" customFormat="1" ht="20.25" customHeight="1">
      <c r="B60" s="645"/>
      <c r="C60" s="580">
        <v>46259</v>
      </c>
      <c r="D60" s="304" t="str">
        <f t="shared" si="17"/>
        <v>Tue</v>
      </c>
      <c r="E60" s="384"/>
      <c r="F60" s="385"/>
      <c r="G60" s="572"/>
      <c r="H60" s="572"/>
      <c r="I60" s="537"/>
      <c r="J60" s="305"/>
      <c r="K60" s="305">
        <v>0</v>
      </c>
      <c r="L60" s="305">
        <v>0</v>
      </c>
      <c r="M60" s="305">
        <f t="shared" si="6"/>
        <v>1826.461538461537</v>
      </c>
      <c r="N60" s="305">
        <f t="shared" si="15"/>
        <v>0</v>
      </c>
      <c r="O60" s="581">
        <v>46260</v>
      </c>
      <c r="P60" s="386">
        <v>2.9583333333333299</v>
      </c>
      <c r="Q60" s="581">
        <v>46260</v>
      </c>
      <c r="R60" s="387">
        <v>2.5</v>
      </c>
      <c r="S60" s="388">
        <f t="shared" si="7"/>
        <v>-11.000000000058208</v>
      </c>
      <c r="T60" s="349">
        <f t="shared" si="10"/>
        <v>0</v>
      </c>
      <c r="U60" s="242" t="e">
        <f>+VLOOKUP(E60,'DINH MUC CHI PHI VH'!$C$4:$K$102,7,0)</f>
        <v>#N/A</v>
      </c>
      <c r="V60" s="242" t="e">
        <f>VLOOKUP(E60, 'DINH MUC CHI PHI VH'!$C$4:$N$102, 12, 0) * F60</f>
        <v>#N/A</v>
      </c>
      <c r="W60" s="242" t="e">
        <f>+VLOOKUP(E60,'DINH MUC CHI PHI VH'!$C$4:$K$102,9,0)</f>
        <v>#N/A</v>
      </c>
      <c r="X60" s="242" t="e">
        <f>+VLOOKUP(E60,'DINH MUC CHI PHI VH'!$C$4:$K$102,6,0)</f>
        <v>#N/A</v>
      </c>
      <c r="Y60" s="305" t="e">
        <f t="shared" si="18"/>
        <v>#N/A</v>
      </c>
      <c r="Z60" s="389" t="e">
        <f t="shared" si="19"/>
        <v>#N/A</v>
      </c>
      <c r="AA60" s="382"/>
      <c r="AB60" s="382"/>
      <c r="AG60" s="138" t="e">
        <f>VLOOKUP(E60,'DINH MUC CHI PHI VH'!$C$4:$P$102,14,0)</f>
        <v>#N/A</v>
      </c>
    </row>
    <row r="61" spans="2:33" s="138" customFormat="1" ht="20.25" customHeight="1">
      <c r="B61" s="645"/>
      <c r="C61" s="580">
        <v>46260</v>
      </c>
      <c r="D61" s="304" t="str">
        <f t="shared" si="17"/>
        <v>Wed</v>
      </c>
      <c r="E61" s="384"/>
      <c r="F61" s="385"/>
      <c r="G61" s="572"/>
      <c r="H61" s="572"/>
      <c r="I61" s="537"/>
      <c r="J61" s="305"/>
      <c r="K61" s="305">
        <v>0</v>
      </c>
      <c r="L61" s="305">
        <v>0</v>
      </c>
      <c r="M61" s="305">
        <f t="shared" si="6"/>
        <v>1875.9230769230733</v>
      </c>
      <c r="N61" s="305">
        <f t="shared" si="15"/>
        <v>0</v>
      </c>
      <c r="O61" s="581">
        <v>46261</v>
      </c>
      <c r="P61" s="386">
        <v>3</v>
      </c>
      <c r="Q61" s="581">
        <v>46261</v>
      </c>
      <c r="R61" s="387">
        <v>2.5416666666666701</v>
      </c>
      <c r="S61" s="388">
        <f t="shared" si="7"/>
        <v>-11.000000000058208</v>
      </c>
      <c r="T61" s="349">
        <f t="shared" si="10"/>
        <v>0</v>
      </c>
      <c r="U61" s="242" t="e">
        <f>+VLOOKUP(E61,'DINH MUC CHI PHI VH'!$C$4:$K$102,7,0)</f>
        <v>#N/A</v>
      </c>
      <c r="V61" s="242" t="e">
        <f>VLOOKUP(E61, 'DINH MUC CHI PHI VH'!$C$4:$N$102, 12, 0) * F61</f>
        <v>#N/A</v>
      </c>
      <c r="W61" s="242" t="e">
        <f>+VLOOKUP(E61,'DINH MUC CHI PHI VH'!$C$4:$K$102,9,0)</f>
        <v>#N/A</v>
      </c>
      <c r="X61" s="242" t="e">
        <f>+VLOOKUP(E61,'DINH MUC CHI PHI VH'!$C$4:$K$102,6,0)</f>
        <v>#N/A</v>
      </c>
      <c r="Y61" s="305" t="e">
        <f t="shared" si="18"/>
        <v>#N/A</v>
      </c>
      <c r="Z61" s="389" t="e">
        <f t="shared" si="19"/>
        <v>#N/A</v>
      </c>
      <c r="AA61" s="382"/>
      <c r="AB61" s="382"/>
      <c r="AG61" s="138" t="e">
        <f>VLOOKUP(E61,'DINH MUC CHI PHI VH'!$C$4:$P$102,14,0)</f>
        <v>#N/A</v>
      </c>
    </row>
    <row r="62" spans="2:33" s="138" customFormat="1" ht="20.25" customHeight="1">
      <c r="B62" s="645"/>
      <c r="C62" s="580">
        <v>46261</v>
      </c>
      <c r="D62" s="304" t="str">
        <f t="shared" si="17"/>
        <v>Thu</v>
      </c>
      <c r="E62" s="384"/>
      <c r="F62" s="385"/>
      <c r="G62" s="572"/>
      <c r="H62" s="572"/>
      <c r="I62" s="537"/>
      <c r="J62" s="305"/>
      <c r="K62" s="305">
        <v>0</v>
      </c>
      <c r="L62" s="305">
        <v>0</v>
      </c>
      <c r="M62" s="305">
        <f t="shared" si="6"/>
        <v>1925.3846153846087</v>
      </c>
      <c r="N62" s="305">
        <f t="shared" si="15"/>
        <v>0</v>
      </c>
      <c r="O62" s="581">
        <v>46262</v>
      </c>
      <c r="P62" s="386">
        <v>3.0416666666666701</v>
      </c>
      <c r="Q62" s="581">
        <v>46262</v>
      </c>
      <c r="R62" s="387">
        <v>2.5833333333333299</v>
      </c>
      <c r="S62" s="388">
        <f t="shared" si="7"/>
        <v>-10.999999999883585</v>
      </c>
      <c r="T62" s="349">
        <f t="shared" si="10"/>
        <v>0</v>
      </c>
      <c r="U62" s="242" t="e">
        <f>+VLOOKUP(E62,'DINH MUC CHI PHI VH'!$C$4:$K$102,7,0)</f>
        <v>#N/A</v>
      </c>
      <c r="V62" s="242" t="e">
        <f>VLOOKUP(E62, 'DINH MUC CHI PHI VH'!$C$4:$N$102, 12, 0) * F62</f>
        <v>#N/A</v>
      </c>
      <c r="W62" s="242" t="e">
        <f>+VLOOKUP(E62,'DINH MUC CHI PHI VH'!$C$4:$K$102,9,0)</f>
        <v>#N/A</v>
      </c>
      <c r="X62" s="242" t="e">
        <f>+VLOOKUP(E62,'DINH MUC CHI PHI VH'!$C$4:$K$102,6,0)</f>
        <v>#N/A</v>
      </c>
      <c r="Y62" s="305" t="e">
        <f t="shared" si="18"/>
        <v>#N/A</v>
      </c>
      <c r="Z62" s="389" t="e">
        <f t="shared" si="19"/>
        <v>#N/A</v>
      </c>
      <c r="AA62" s="382"/>
      <c r="AB62" s="382"/>
      <c r="AG62" s="138" t="e">
        <f>VLOOKUP(E62,'DINH MUC CHI PHI VH'!$C$4:$P$102,14,0)</f>
        <v>#N/A</v>
      </c>
    </row>
    <row r="63" spans="2:33" s="138" customFormat="1" ht="20.25" customHeight="1" thickBot="1">
      <c r="B63" s="646"/>
      <c r="C63" s="580">
        <v>46262</v>
      </c>
      <c r="D63" s="390" t="str">
        <f t="shared" si="17"/>
        <v>Fri</v>
      </c>
      <c r="E63" s="391"/>
      <c r="F63" s="392"/>
      <c r="G63" s="574"/>
      <c r="H63" s="574"/>
      <c r="I63" s="538"/>
      <c r="J63" s="393"/>
      <c r="K63" s="393">
        <v>0</v>
      </c>
      <c r="L63" s="393">
        <v>0</v>
      </c>
      <c r="M63" s="393">
        <f t="shared" si="6"/>
        <v>1974.8461538461429</v>
      </c>
      <c r="N63" s="393">
        <f t="shared" si="15"/>
        <v>0</v>
      </c>
      <c r="O63" s="581">
        <v>46263</v>
      </c>
      <c r="P63" s="394">
        <v>3.0833333333333299</v>
      </c>
      <c r="Q63" s="581">
        <v>46263</v>
      </c>
      <c r="R63" s="395">
        <v>2.625</v>
      </c>
      <c r="S63" s="396">
        <f t="shared" si="7"/>
        <v>-11.000000000058208</v>
      </c>
      <c r="T63" s="349">
        <f t="shared" si="10"/>
        <v>0</v>
      </c>
      <c r="U63" s="242" t="e">
        <f>+VLOOKUP(E63,'DINH MUC CHI PHI VH'!$C$4:$K$102,7,0)</f>
        <v>#N/A</v>
      </c>
      <c r="V63" s="242" t="e">
        <f>VLOOKUP(E63, 'DINH MUC CHI PHI VH'!$C$4:$N$102, 12, 0) * F63</f>
        <v>#N/A</v>
      </c>
      <c r="W63" s="242" t="e">
        <f>+VLOOKUP(E63,'DINH MUC CHI PHI VH'!$C$4:$K$102,9,0)</f>
        <v>#N/A</v>
      </c>
      <c r="X63" s="242" t="e">
        <f>+VLOOKUP(E63,'DINH MUC CHI PHI VH'!$C$4:$K$102,6,0)</f>
        <v>#N/A</v>
      </c>
      <c r="Y63" s="393" t="e">
        <f t="shared" si="18"/>
        <v>#N/A</v>
      </c>
      <c r="Z63" s="397" t="e">
        <f t="shared" si="19"/>
        <v>#N/A</v>
      </c>
      <c r="AA63" s="382"/>
      <c r="AG63" s="138" t="e">
        <f>VLOOKUP(E63,'DINH MUC CHI PHI VH'!$C$4:$P$102,14,0)</f>
        <v>#N/A</v>
      </c>
    </row>
    <row r="64" spans="2:33" ht="20.25" customHeight="1" thickBot="1">
      <c r="B64" s="214"/>
      <c r="C64" s="161"/>
      <c r="D64" s="162"/>
      <c r="E64" s="215"/>
      <c r="F64" s="299"/>
      <c r="G64" s="138"/>
      <c r="H64" s="138"/>
      <c r="I64" s="138"/>
      <c r="J64" s="163"/>
      <c r="K64" s="163"/>
      <c r="L64" s="163"/>
      <c r="M64" s="163"/>
      <c r="N64" s="163"/>
      <c r="O64" s="362"/>
      <c r="P64" s="362"/>
      <c r="Q64" s="362"/>
      <c r="R64" s="164"/>
      <c r="S64" s="165"/>
      <c r="T64" s="163"/>
      <c r="U64" s="163"/>
      <c r="V64" s="163"/>
      <c r="W64" s="163"/>
      <c r="X64" s="163"/>
      <c r="Y64" s="163"/>
      <c r="Z64" s="138"/>
    </row>
    <row r="65" spans="2:16" ht="26.25" customHeight="1" thickBot="1">
      <c r="B65" s="629" t="s">
        <v>206</v>
      </c>
      <c r="C65" s="630"/>
      <c r="D65" s="630"/>
      <c r="E65" s="630"/>
      <c r="F65" s="630"/>
      <c r="G65" s="630"/>
      <c r="H65" s="630"/>
      <c r="I65" s="630"/>
      <c r="J65" s="630"/>
      <c r="K65" s="630"/>
      <c r="L65" s="630"/>
      <c r="M65" s="630"/>
      <c r="N65" s="630"/>
      <c r="O65" s="631"/>
      <c r="P65" s="357"/>
    </row>
    <row r="66" spans="2:16" ht="26.25" customHeight="1" thickBot="1">
      <c r="B66" s="210" t="s">
        <v>207</v>
      </c>
      <c r="C66" s="211"/>
      <c r="D66" s="211"/>
      <c r="E66" s="211"/>
      <c r="F66" s="300"/>
      <c r="G66" s="264"/>
      <c r="H66" s="264"/>
      <c r="I66" s="264"/>
      <c r="J66" s="211"/>
      <c r="K66" s="211"/>
      <c r="L66" s="211"/>
      <c r="M66" s="211"/>
      <c r="N66" s="211"/>
      <c r="O66" s="363"/>
      <c r="P66" s="357"/>
    </row>
    <row r="67" spans="2:16" ht="26.25" customHeight="1">
      <c r="B67" s="632" t="s">
        <v>0</v>
      </c>
      <c r="C67" s="634" t="s">
        <v>158</v>
      </c>
      <c r="D67" s="636" t="s">
        <v>129</v>
      </c>
      <c r="E67" s="636"/>
      <c r="F67" s="636"/>
      <c r="G67" s="636"/>
      <c r="H67" s="636"/>
      <c r="I67" s="636"/>
      <c r="J67" s="636"/>
      <c r="K67" s="636"/>
      <c r="L67" s="636" t="s">
        <v>7</v>
      </c>
      <c r="M67" s="636"/>
      <c r="N67" s="636"/>
      <c r="O67" s="637" t="s">
        <v>163</v>
      </c>
      <c r="P67" s="358"/>
    </row>
    <row r="68" spans="2:16" ht="26.25" customHeight="1">
      <c r="B68" s="633"/>
      <c r="C68" s="635"/>
      <c r="D68" s="635" t="s">
        <v>155</v>
      </c>
      <c r="E68" s="635"/>
      <c r="F68" s="301"/>
      <c r="G68" s="281"/>
      <c r="H68" s="281"/>
      <c r="I68" s="260"/>
      <c r="J68" s="151" t="s">
        <v>131</v>
      </c>
      <c r="K68" s="151" t="s">
        <v>133</v>
      </c>
      <c r="L68" s="151" t="s">
        <v>156</v>
      </c>
      <c r="M68" s="151" t="s">
        <v>157</v>
      </c>
      <c r="N68" s="151" t="s">
        <v>13</v>
      </c>
      <c r="O68" s="638"/>
      <c r="P68" s="359"/>
    </row>
    <row r="69" spans="2:16" ht="26.25" customHeight="1">
      <c r="B69" s="141" t="s">
        <v>162</v>
      </c>
      <c r="C69" s="139">
        <v>1965</v>
      </c>
      <c r="D69" s="640">
        <v>303933</v>
      </c>
      <c r="E69" s="640"/>
      <c r="F69" s="291"/>
      <c r="G69" s="282"/>
      <c r="H69" s="282"/>
      <c r="I69" s="262"/>
      <c r="J69" s="150">
        <v>1750</v>
      </c>
      <c r="K69" s="150">
        <f>D69*J69</f>
        <v>531882750</v>
      </c>
      <c r="L69" s="150">
        <f>17*C69*1000</f>
        <v>33405000</v>
      </c>
      <c r="M69" s="150">
        <f>+C69*15.1*1000</f>
        <v>29671500</v>
      </c>
      <c r="N69" s="150">
        <f>+C69*6.9*1000</f>
        <v>13558500</v>
      </c>
      <c r="O69" s="364">
        <f>SUM(K69:N69)</f>
        <v>608517750</v>
      </c>
      <c r="P69" s="365"/>
    </row>
    <row r="70" spans="2:16" ht="26.25" customHeight="1" thickBot="1">
      <c r="B70" s="142" t="s">
        <v>149</v>
      </c>
      <c r="C70" s="140">
        <v>273</v>
      </c>
      <c r="D70" s="639">
        <v>200</v>
      </c>
      <c r="E70" s="639"/>
      <c r="F70" s="290"/>
      <c r="G70" s="280"/>
      <c r="H70" s="280"/>
      <c r="I70" s="261"/>
      <c r="J70" s="149">
        <v>1790</v>
      </c>
      <c r="K70" s="149">
        <f>D70*J70</f>
        <v>358000</v>
      </c>
      <c r="L70" s="149">
        <f>8*C70*1000</f>
        <v>2184000</v>
      </c>
      <c r="M70" s="149">
        <f>+C70*24.3*1000</f>
        <v>6633900.0000000009</v>
      </c>
      <c r="N70" s="149">
        <f>+C70*5*1000</f>
        <v>1365000</v>
      </c>
      <c r="O70" s="366">
        <f>SUM(K70:N70)</f>
        <v>10540900</v>
      </c>
      <c r="P70" s="365"/>
    </row>
    <row r="71" spans="2:16" ht="26.25" customHeight="1" thickBot="1">
      <c r="B71" s="208" t="s">
        <v>10</v>
      </c>
      <c r="C71" s="209">
        <f>SUM(C69:C70)</f>
        <v>2238</v>
      </c>
      <c r="M71" s="623" t="s">
        <v>205</v>
      </c>
      <c r="N71" s="624"/>
      <c r="O71" s="367">
        <f>SUM(O69:O70)</f>
        <v>619058650</v>
      </c>
      <c r="P71" s="368"/>
    </row>
    <row r="72" spans="2:16" ht="26.25" customHeight="1" thickBot="1">
      <c r="M72" s="623" t="s">
        <v>124</v>
      </c>
      <c r="N72" s="624"/>
      <c r="O72" s="367">
        <f>+O71/(SUM(C69:C70)*1000)</f>
        <v>276.61244414655943</v>
      </c>
      <c r="P72" s="368"/>
    </row>
    <row r="73" spans="2:16" ht="26.25" customHeight="1" thickBot="1"/>
    <row r="74" spans="2:16" ht="26.25" customHeight="1" thickBot="1">
      <c r="B74" s="629" t="s">
        <v>208</v>
      </c>
      <c r="C74" s="630"/>
      <c r="D74" s="630"/>
      <c r="E74" s="630"/>
      <c r="F74" s="630"/>
      <c r="G74" s="630"/>
      <c r="H74" s="630"/>
      <c r="I74" s="630"/>
      <c r="J74" s="630"/>
      <c r="K74" s="630"/>
      <c r="L74" s="630"/>
      <c r="M74" s="630"/>
      <c r="N74" s="630"/>
      <c r="O74" s="631"/>
      <c r="P74" s="357"/>
    </row>
    <row r="75" spans="2:16" ht="26.25" customHeight="1">
      <c r="B75" s="632" t="s">
        <v>0</v>
      </c>
      <c r="C75" s="634" t="s">
        <v>158</v>
      </c>
      <c r="D75" s="636" t="s">
        <v>129</v>
      </c>
      <c r="E75" s="636"/>
      <c r="F75" s="636"/>
      <c r="G75" s="636"/>
      <c r="H75" s="636"/>
      <c r="I75" s="636"/>
      <c r="J75" s="636"/>
      <c r="K75" s="636"/>
      <c r="L75" s="636" t="s">
        <v>7</v>
      </c>
      <c r="M75" s="636"/>
      <c r="N75" s="636"/>
      <c r="O75" s="637" t="s">
        <v>163</v>
      </c>
      <c r="P75" s="358"/>
    </row>
    <row r="76" spans="2:16" ht="26.25" customHeight="1">
      <c r="B76" s="633"/>
      <c r="C76" s="635"/>
      <c r="D76" s="635" t="s">
        <v>155</v>
      </c>
      <c r="E76" s="635"/>
      <c r="F76" s="301"/>
      <c r="G76" s="281"/>
      <c r="H76" s="281"/>
      <c r="I76" s="260"/>
      <c r="J76" s="154" t="s">
        <v>131</v>
      </c>
      <c r="K76" s="154" t="s">
        <v>133</v>
      </c>
      <c r="L76" s="154" t="s">
        <v>156</v>
      </c>
      <c r="M76" s="154" t="s">
        <v>157</v>
      </c>
      <c r="N76" s="154" t="s">
        <v>13</v>
      </c>
      <c r="O76" s="638"/>
      <c r="P76" s="359"/>
    </row>
    <row r="77" spans="2:16" ht="26.25" customHeight="1">
      <c r="B77" s="141" t="s">
        <v>162</v>
      </c>
      <c r="C77" s="139">
        <v>1400</v>
      </c>
      <c r="D77" s="640">
        <v>257500</v>
      </c>
      <c r="E77" s="640"/>
      <c r="F77" s="291"/>
      <c r="G77" s="282"/>
      <c r="H77" s="282"/>
      <c r="I77" s="262"/>
      <c r="J77" s="206">
        <v>1750</v>
      </c>
      <c r="K77" s="153">
        <f>D77*J77</f>
        <v>450625000</v>
      </c>
      <c r="L77" s="153">
        <f>15*C77*1000</f>
        <v>21000000</v>
      </c>
      <c r="M77" s="153">
        <f>+C77*11*1000</f>
        <v>15400000</v>
      </c>
      <c r="N77" s="153">
        <f>+C77*11*1000</f>
        <v>15400000</v>
      </c>
      <c r="O77" s="364">
        <f>SUM(K77:N77)</f>
        <v>502425000</v>
      </c>
      <c r="P77" s="365"/>
    </row>
    <row r="78" spans="2:16" ht="26.25" customHeight="1" thickBot="1">
      <c r="B78" s="142" t="s">
        <v>149</v>
      </c>
      <c r="C78" s="140">
        <v>200</v>
      </c>
      <c r="D78" s="639">
        <v>350</v>
      </c>
      <c r="E78" s="639"/>
      <c r="F78" s="290"/>
      <c r="G78" s="280"/>
      <c r="H78" s="280"/>
      <c r="I78" s="261"/>
      <c r="J78" s="152">
        <v>1790</v>
      </c>
      <c r="K78" s="152">
        <f>D78*J78</f>
        <v>626500</v>
      </c>
      <c r="L78" s="152">
        <f t="shared" ref="L78" si="20">15*C78*1000</f>
        <v>3000000</v>
      </c>
      <c r="M78" s="152">
        <f t="shared" ref="M78" si="21">+C78*11*1000</f>
        <v>2200000</v>
      </c>
      <c r="N78" s="152">
        <f t="shared" ref="N78" si="22">+C78*11*1000</f>
        <v>2200000</v>
      </c>
      <c r="O78" s="366">
        <f>SUM(K78:N78)</f>
        <v>8026500</v>
      </c>
      <c r="P78" s="365"/>
    </row>
    <row r="79" spans="2:16" ht="26.25" customHeight="1" thickBot="1">
      <c r="B79" s="208" t="s">
        <v>10</v>
      </c>
      <c r="C79" s="209">
        <f>SUM(C77:C78)</f>
        <v>1600</v>
      </c>
      <c r="M79" s="623" t="s">
        <v>205</v>
      </c>
      <c r="N79" s="624"/>
      <c r="O79" s="367">
        <f>SUM(O77:O78)</f>
        <v>510451500</v>
      </c>
      <c r="P79" s="368"/>
    </row>
    <row r="80" spans="2:16" ht="26.25" customHeight="1" thickBot="1">
      <c r="M80" s="623" t="s">
        <v>124</v>
      </c>
      <c r="N80" s="624"/>
      <c r="O80" s="367">
        <f>+O79/(SUM(C77:C78)*1000)</f>
        <v>319.03218750000002</v>
      </c>
      <c r="P80" s="368"/>
    </row>
    <row r="81" spans="2:16" ht="26.25" customHeight="1" thickBot="1"/>
    <row r="82" spans="2:16" ht="26.25" customHeight="1" thickBot="1">
      <c r="B82" s="629" t="s">
        <v>209</v>
      </c>
      <c r="C82" s="630"/>
      <c r="D82" s="630"/>
      <c r="E82" s="630"/>
      <c r="F82" s="630"/>
      <c r="G82" s="630"/>
      <c r="H82" s="630"/>
      <c r="I82" s="630"/>
      <c r="J82" s="630"/>
      <c r="K82" s="630"/>
      <c r="L82" s="630"/>
      <c r="M82" s="630"/>
      <c r="N82" s="630"/>
      <c r="O82" s="631"/>
      <c r="P82" s="357"/>
    </row>
    <row r="83" spans="2:16" ht="26.25" customHeight="1">
      <c r="B83" s="632" t="s">
        <v>0</v>
      </c>
      <c r="C83" s="634" t="s">
        <v>158</v>
      </c>
      <c r="D83" s="636" t="s">
        <v>129</v>
      </c>
      <c r="E83" s="636"/>
      <c r="F83" s="636"/>
      <c r="G83" s="636"/>
      <c r="H83" s="636"/>
      <c r="I83" s="636"/>
      <c r="J83" s="636"/>
      <c r="K83" s="636"/>
      <c r="L83" s="636" t="s">
        <v>7</v>
      </c>
      <c r="M83" s="636"/>
      <c r="N83" s="636"/>
      <c r="O83" s="637" t="s">
        <v>163</v>
      </c>
      <c r="P83" s="358"/>
    </row>
    <row r="84" spans="2:16" ht="26.25" customHeight="1">
      <c r="B84" s="633"/>
      <c r="C84" s="635"/>
      <c r="D84" s="635" t="s">
        <v>155</v>
      </c>
      <c r="E84" s="635"/>
      <c r="F84" s="301"/>
      <c r="G84" s="281"/>
      <c r="H84" s="281"/>
      <c r="I84" s="260"/>
      <c r="J84" s="207" t="s">
        <v>131</v>
      </c>
      <c r="K84" s="207" t="s">
        <v>133</v>
      </c>
      <c r="L84" s="207" t="s">
        <v>156</v>
      </c>
      <c r="M84" s="207" t="s">
        <v>157</v>
      </c>
      <c r="N84" s="207" t="s">
        <v>13</v>
      </c>
      <c r="O84" s="638"/>
      <c r="P84" s="359"/>
    </row>
    <row r="85" spans="2:16" ht="26.25" customHeight="1">
      <c r="B85" s="141" t="s">
        <v>162</v>
      </c>
      <c r="C85" s="139">
        <v>1000</v>
      </c>
      <c r="D85" s="640">
        <v>235000</v>
      </c>
      <c r="E85" s="640"/>
      <c r="F85" s="291"/>
      <c r="G85" s="282"/>
      <c r="H85" s="282"/>
      <c r="I85" s="262"/>
      <c r="J85" s="206">
        <v>1750</v>
      </c>
      <c r="K85" s="206">
        <f>D85*J85</f>
        <v>411250000</v>
      </c>
      <c r="L85" s="206">
        <f>15*C85*1000</f>
        <v>15000000</v>
      </c>
      <c r="M85" s="206">
        <f>+C85*11*1000</f>
        <v>11000000</v>
      </c>
      <c r="N85" s="206">
        <f>+C85*11*1000</f>
        <v>11000000</v>
      </c>
      <c r="O85" s="364">
        <f>SUM(K85:N85)</f>
        <v>448250000</v>
      </c>
      <c r="P85" s="365"/>
    </row>
    <row r="86" spans="2:16" ht="26.25" customHeight="1" thickBot="1">
      <c r="B86" s="142" t="s">
        <v>149</v>
      </c>
      <c r="C86" s="140">
        <v>200</v>
      </c>
      <c r="D86" s="639">
        <v>350</v>
      </c>
      <c r="E86" s="639"/>
      <c r="F86" s="290"/>
      <c r="G86" s="280"/>
      <c r="H86" s="280"/>
      <c r="I86" s="261"/>
      <c r="J86" s="205">
        <v>1790</v>
      </c>
      <c r="K86" s="205">
        <f>D86*J86</f>
        <v>626500</v>
      </c>
      <c r="L86" s="205">
        <f t="shared" ref="L86" si="23">15*C86*1000</f>
        <v>3000000</v>
      </c>
      <c r="M86" s="205">
        <f t="shared" ref="M86" si="24">+C86*11*1000</f>
        <v>2200000</v>
      </c>
      <c r="N86" s="205">
        <f t="shared" ref="N86" si="25">+C86*11*1000</f>
        <v>2200000</v>
      </c>
      <c r="O86" s="366">
        <f>SUM(K86:N86)</f>
        <v>8026500</v>
      </c>
      <c r="P86" s="365"/>
    </row>
    <row r="87" spans="2:16" ht="26.25" customHeight="1" thickBot="1">
      <c r="B87" s="208" t="s">
        <v>10</v>
      </c>
      <c r="C87" s="209">
        <f>SUM(C85:C86)</f>
        <v>1200</v>
      </c>
      <c r="M87" s="623" t="s">
        <v>205</v>
      </c>
      <c r="N87" s="624"/>
      <c r="O87" s="367">
        <f>SUM(O85:O86)</f>
        <v>456276500</v>
      </c>
      <c r="P87" s="368"/>
    </row>
    <row r="88" spans="2:16" ht="26.25" customHeight="1" thickBot="1">
      <c r="M88" s="623" t="s">
        <v>124</v>
      </c>
      <c r="N88" s="624"/>
      <c r="O88" s="367">
        <f>+O87/(SUM(C85:C86)*1000)</f>
        <v>380.23041666666666</v>
      </c>
      <c r="P88" s="368"/>
    </row>
  </sheetData>
  <autoFilter ref="E1:E88"/>
  <mergeCells count="56">
    <mergeCell ref="D86:E86"/>
    <mergeCell ref="E2:E3"/>
    <mergeCell ref="M79:N79"/>
    <mergeCell ref="M80:N80"/>
    <mergeCell ref="M72:N72"/>
    <mergeCell ref="B74:O74"/>
    <mergeCell ref="B75:B76"/>
    <mergeCell ref="C75:C76"/>
    <mergeCell ref="D75:K75"/>
    <mergeCell ref="L75:N75"/>
    <mergeCell ref="O75:O76"/>
    <mergeCell ref="D76:E76"/>
    <mergeCell ref="D77:E77"/>
    <mergeCell ref="D78:E78"/>
    <mergeCell ref="J2:K2"/>
    <mergeCell ref="D2:D3"/>
    <mergeCell ref="M87:N87"/>
    <mergeCell ref="AF2:AF3"/>
    <mergeCell ref="AB2:AC2"/>
    <mergeCell ref="O2:S2"/>
    <mergeCell ref="T2:Y2"/>
    <mergeCell ref="Z2:Z3"/>
    <mergeCell ref="AD2:AD3"/>
    <mergeCell ref="AE2:AE3"/>
    <mergeCell ref="L2:N2"/>
    <mergeCell ref="D68:E68"/>
    <mergeCell ref="D67:K67"/>
    <mergeCell ref="B65:O65"/>
    <mergeCell ref="C67:C68"/>
    <mergeCell ref="C2:C3"/>
    <mergeCell ref="B2:B3"/>
    <mergeCell ref="B44:B63"/>
    <mergeCell ref="I2:I3"/>
    <mergeCell ref="G2:H2"/>
    <mergeCell ref="F2:F3"/>
    <mergeCell ref="B4:B12"/>
    <mergeCell ref="B13:B15"/>
    <mergeCell ref="B16:B22"/>
    <mergeCell ref="B23:B30"/>
    <mergeCell ref="B31:B34"/>
    <mergeCell ref="M88:N88"/>
    <mergeCell ref="B1:S1"/>
    <mergeCell ref="B82:O82"/>
    <mergeCell ref="B83:B84"/>
    <mergeCell ref="C83:C84"/>
    <mergeCell ref="D83:K83"/>
    <mergeCell ref="L83:N83"/>
    <mergeCell ref="O83:O84"/>
    <mergeCell ref="D84:E84"/>
    <mergeCell ref="M71:N71"/>
    <mergeCell ref="D70:E70"/>
    <mergeCell ref="D69:E69"/>
    <mergeCell ref="L67:N67"/>
    <mergeCell ref="O67:O68"/>
    <mergeCell ref="D85:E85"/>
    <mergeCell ref="B67:B68"/>
  </mergeCells>
  <printOptions horizontalCentered="1"/>
  <pageMargins left="0.05" right="0.05" top="0.05" bottom="0.05" header="0.05" footer="0.05"/>
  <pageSetup paperSize="9" scale="36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'DINH MUC CHI PHI VH'!$Q$4:$Q$21</xm:f>
          </x14:formula1>
          <xm:sqref>G4:H63</xm:sqref>
        </x14:dataValidation>
        <x14:dataValidation type="list" allowBlank="1" showInputMessage="1" showErrorMessage="1">
          <x14:formula1>
            <xm:f>Sheet1!$A$2:$A$50</xm:f>
          </x14:formula1>
          <xm:sqref>P4:P63 R4:R63</xm:sqref>
        </x14:dataValidation>
        <x14:dataValidation type="list" allowBlank="1" showInputMessage="1" showErrorMessage="1">
          <x14:formula1>
            <xm:f>'DINH MUC CHI PHI VH'!$C$4:$C$102</xm:f>
          </x14:formula1>
          <xm:sqref>E4:E63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M38"/>
  <sheetViews>
    <sheetView workbookViewId="0">
      <selection activeCell="F12" sqref="F12:H12"/>
    </sheetView>
  </sheetViews>
  <sheetFormatPr defaultRowHeight="15"/>
  <cols>
    <col min="1" max="1" width="5" customWidth="1"/>
    <col min="2" max="2" width="16.5703125" bestFit="1" customWidth="1"/>
    <col min="3" max="3" width="16.140625" bestFit="1" customWidth="1"/>
    <col min="4" max="4" width="12.7109375" bestFit="1" customWidth="1"/>
    <col min="5" max="5" width="12" customWidth="1"/>
    <col min="6" max="6" width="14.28515625" customWidth="1"/>
    <col min="7" max="7" width="11.85546875" customWidth="1"/>
    <col min="8" max="8" width="14.28515625" customWidth="1"/>
    <col min="9" max="9" width="14" customWidth="1"/>
    <col min="10" max="10" width="14.28515625" customWidth="1"/>
    <col min="11" max="11" width="13.7109375" customWidth="1"/>
    <col min="12" max="12" width="14.28515625" customWidth="1"/>
  </cols>
  <sheetData>
    <row r="1" spans="2:13" ht="30" customHeight="1" thickBot="1">
      <c r="B1" s="289">
        <v>46204</v>
      </c>
      <c r="C1" s="344">
        <v>46206</v>
      </c>
    </row>
    <row r="2" spans="2:13" ht="40.5" customHeight="1" thickBot="1">
      <c r="B2" s="741" t="s">
        <v>340</v>
      </c>
      <c r="C2" s="742"/>
      <c r="D2" s="742"/>
      <c r="E2" s="742"/>
      <c r="F2" s="742"/>
      <c r="G2" s="742"/>
      <c r="H2" s="742"/>
      <c r="I2" s="742"/>
      <c r="J2" s="742"/>
      <c r="K2" s="742"/>
      <c r="L2" s="743"/>
    </row>
    <row r="3" spans="2:13" ht="45.75" customHeight="1" thickBot="1">
      <c r="B3" s="744" t="s">
        <v>387</v>
      </c>
      <c r="C3" s="732"/>
      <c r="D3" s="732"/>
      <c r="E3" s="732"/>
      <c r="F3" s="732"/>
      <c r="G3" s="732"/>
      <c r="H3" s="732"/>
      <c r="I3" s="732"/>
      <c r="J3" s="732"/>
      <c r="K3" s="732"/>
      <c r="L3" s="745"/>
    </row>
    <row r="4" spans="2:13" ht="15" customHeight="1">
      <c r="B4" s="749" t="s">
        <v>341</v>
      </c>
      <c r="C4" s="682" t="s">
        <v>342</v>
      </c>
      <c r="D4" s="682"/>
      <c r="E4" s="682"/>
      <c r="F4" s="683" t="s">
        <v>343</v>
      </c>
      <c r="G4" s="684"/>
      <c r="H4" s="684"/>
      <c r="I4" s="684"/>
      <c r="J4" s="684"/>
      <c r="K4" s="746" t="s">
        <v>344</v>
      </c>
      <c r="L4" s="747"/>
    </row>
    <row r="5" spans="2:13" ht="29.25" thickBot="1">
      <c r="B5" s="750"/>
      <c r="C5" s="308" t="s">
        <v>345</v>
      </c>
      <c r="D5" s="308" t="s">
        <v>346</v>
      </c>
      <c r="E5" s="308" t="s">
        <v>347</v>
      </c>
      <c r="F5" s="308" t="s">
        <v>348</v>
      </c>
      <c r="G5" s="308" t="s">
        <v>349</v>
      </c>
      <c r="H5" s="308" t="s">
        <v>350</v>
      </c>
      <c r="I5" s="308" t="s">
        <v>351</v>
      </c>
      <c r="J5" s="308" t="s">
        <v>282</v>
      </c>
      <c r="K5" s="308" t="s">
        <v>388</v>
      </c>
      <c r="L5" s="320" t="s">
        <v>389</v>
      </c>
    </row>
    <row r="6" spans="2:13" ht="15.75" customHeight="1">
      <c r="B6" s="751" t="s">
        <v>164</v>
      </c>
      <c r="C6" s="709">
        <v>0</v>
      </c>
      <c r="D6" s="709">
        <f>SUMPRODUCT(('KH - THEO DÕI LÒ'!$AG$4:$AG$34 = "ÉP BÁNH") * ('KH - THEO DÕI LÒ'!$C$4:$C$34 &gt;= 'BCAO TUAN'!$B$1) * ('KH - THEO DÕI LÒ'!$C$4:$C$34 &lt;= 'BCAO TUAN'!$C$1) * 'KH - THEO DÕI LÒ'!$K$4:$K$34)</f>
        <v>34000</v>
      </c>
      <c r="E6" s="752">
        <f>+IFERROR( D6/C6,0)</f>
        <v>0</v>
      </c>
      <c r="F6" s="321">
        <f>+SUMPRODUCT(('KH - THEO DÕI LÒ'!$AG$4:$AG$34="ÉP BÁNH")*('KH - THEO DÕI LÒ'!$C$4:$C$34&gt;=$B$1)*('KH - THEO DÕI LÒ'!$C$4:$C$34&lt;=$C$1)*'KH - THEO DÕI LÒ'!$N$4:$N$34)</f>
        <v>10931786.399999935</v>
      </c>
      <c r="G6" s="321">
        <f>+SUMPRODUCT(('KH - THEO DÕI LÒ'!$AG$4:$AG$34="ÉP BÁNH")*('KH - THEO DÕI LÒ'!$C$4:$C$34&gt;=$B$1)*('KH - THEO DÕI LÒ'!$C$4:$C$34&lt;=$C$1)*'KH - THEO DÕI LÒ'!$N$4:$N$34)</f>
        <v>10931786.399999935</v>
      </c>
      <c r="H6" s="321">
        <f>+SUMPRODUCT(('KH - THEO DÕI LÒ'!$AG$4:$AG$34="ÉP BÁNH")*('KH - THEO DÕI LÒ'!$C$4:$C$34&gt;=$B$1)*('KH - THEO DÕI LÒ'!$C$4:$C$34&lt;=$C$1)*'KH - THEO DÕI LÒ'!$N$4:$N$34)</f>
        <v>10931786.399999935</v>
      </c>
      <c r="I6" s="321">
        <f>+SUMPRODUCT(('KH - THEO DÕI LÒ'!$AG$4:$AG$34="ÉP BÁNH")*('KH - THEO DÕI LÒ'!$C$4:$C$34&gt;=$B$1)*('KH - THEO DÕI LÒ'!$C$4:$C$34&lt;=$C$1)*'KH - THEO DÕI LÒ'!$N$4:$N$34)</f>
        <v>10931786.399999935</v>
      </c>
      <c r="J6" s="322">
        <f>+SUM(F6,G6,H6,I6)</f>
        <v>43727145.599999741</v>
      </c>
      <c r="K6" s="705">
        <f>+IFERROR(J6/D6,0)</f>
        <v>1286.0925176470512</v>
      </c>
      <c r="L6" s="748">
        <v>0</v>
      </c>
      <c r="M6" s="321"/>
    </row>
    <row r="7" spans="2:13" ht="15" customHeight="1">
      <c r="B7" s="707"/>
      <c r="C7" s="708"/>
      <c r="D7" s="708"/>
      <c r="E7" s="716"/>
      <c r="F7" s="323">
        <f>IFERROR(F6/$D$6,0)</f>
        <v>321.5231294117628</v>
      </c>
      <c r="G7" s="323">
        <f>IFERROR(G6/$D$6,0)</f>
        <v>321.5231294117628</v>
      </c>
      <c r="H7" s="323">
        <f t="shared" ref="H7:I7" si="0">IFERROR(H6/$D$6,0)</f>
        <v>321.5231294117628</v>
      </c>
      <c r="I7" s="323">
        <f t="shared" si="0"/>
        <v>321.5231294117628</v>
      </c>
      <c r="J7" s="324">
        <f>SUM(F7:I7)</f>
        <v>1286.0925176470512</v>
      </c>
      <c r="K7" s="706"/>
      <c r="L7" s="736"/>
    </row>
    <row r="8" spans="2:13" ht="15" customHeight="1" thickBot="1">
      <c r="B8" s="707"/>
      <c r="C8" s="708"/>
      <c r="D8" s="710"/>
      <c r="E8" s="753"/>
      <c r="F8" s="326">
        <f>+IFERROR(F6/$J$6,0)</f>
        <v>0.25</v>
      </c>
      <c r="G8" s="326">
        <f t="shared" ref="G8:I8" si="1">+IFERROR(G6/$J$6,0)</f>
        <v>0.25</v>
      </c>
      <c r="H8" s="326">
        <f t="shared" si="1"/>
        <v>0.25</v>
      </c>
      <c r="I8" s="326">
        <f t="shared" si="1"/>
        <v>0.25</v>
      </c>
      <c r="J8" s="326">
        <f>+SUM(F8:I8)</f>
        <v>1</v>
      </c>
      <c r="K8" s="706"/>
      <c r="L8" s="736"/>
    </row>
    <row r="9" spans="2:13" ht="15" customHeight="1">
      <c r="B9" s="707" t="s">
        <v>184</v>
      </c>
      <c r="C9" s="708">
        <v>0</v>
      </c>
      <c r="D9" s="709">
        <f>SUMPRODUCT(('KH - THEO DÕI LÒ'!$AG$4:$AG$34 = "VỤN") * ('KH - THEO DÕI LÒ'!$C$4:$C$34 &gt;= 'BCAO TUAN'!$B$1) * ('KH - THEO DÕI LÒ'!$C$4:$C$34 &lt;= 'BCAO TUAN'!$C$1) * 'KH - THEO DÕI LÒ'!$K$4:$K$34)</f>
        <v>45000</v>
      </c>
      <c r="E9" s="716">
        <f t="shared" ref="E9" si="2">+IFERROR( D9/C9,0)</f>
        <v>0</v>
      </c>
      <c r="F9" s="321">
        <f>+SUMPRODUCT(('KH - THEO DÕI LÒ'!$AG$4:$AG$34="VỤN")*('KH - THEO DÕI LÒ'!$C$4:$C$34&gt;=$B$1)*('KH - THEO DÕI LÒ'!$C$4:$C$34&lt;=$C$1)*'KH - THEO DÕI LÒ'!$N$4:$N$34)</f>
        <v>18430017.999999896</v>
      </c>
      <c r="G9" s="321">
        <f>+SUMPRODUCT(('KH - THEO DÕI LÒ'!$AG$4:$AG$34="VỤN")*('KH - THEO DÕI LÒ'!$C$4:$C$34&gt;=$B$1)*('KH - THEO DÕI LÒ'!$C$4:$C$34&lt;=$C$1)*'KH - THEO DÕI LÒ'!$K$4:$K$34*'KH - THEO DÕI LÒ'!$U$4:$U$34)</f>
        <v>750000.00000000012</v>
      </c>
      <c r="H9" s="321">
        <f>+SUMPRODUCT(('KH - THEO DÕI LÒ'!$AG$4:$AG$34 = "VỤN") * ('KH - THEO DÕI LÒ'!$C$4:$C$34 &gt;= $B$1) * ('KH - THEO DÕI LÒ'!$C$4:$C$34 &lt;= $C$1)* 'KH - THEO DÕI LÒ'!$K$4:$K$34 * 'KH - THEO DÕI LÒ'!$V$4:$V$34)</f>
        <v>327899.99999999994</v>
      </c>
      <c r="I9" s="321">
        <f>+SUMPRODUCT(('KH - THEO DÕI LÒ'!$AG$4:$AG$34 = "VỤN") * ('KH - THEO DÕI LÒ'!$C$4:$C$34 &gt;= $B$1) * ('KH - THEO DÕI LÒ'!$C$4:$C$34 &lt;= $C$1)* 'KH - THEO DÕI LÒ'!$K$4:$K$34 * ('KH - THEO DÕI LÒ'!$W$4:$W$34 + 'KH - THEO DÕI LÒ'!$X$4:$X$34))</f>
        <v>1160156.25</v>
      </c>
      <c r="J9" s="483">
        <f>+SUM(F9:I9)</f>
        <v>20668074.249999896</v>
      </c>
      <c r="K9" s="706">
        <f>+IFERROR(J9/D9,0)</f>
        <v>459.29053888888654</v>
      </c>
      <c r="L9" s="736">
        <v>0</v>
      </c>
    </row>
    <row r="10" spans="2:13" ht="15" customHeight="1">
      <c r="B10" s="707"/>
      <c r="C10" s="708"/>
      <c r="D10" s="708"/>
      <c r="E10" s="716"/>
      <c r="F10" s="323">
        <f>IFERROR(F9/$D$9,0)</f>
        <v>409.55595555555323</v>
      </c>
      <c r="G10" s="323">
        <f t="shared" ref="G10:I10" si="3">IFERROR(G9/$D$9,0)</f>
        <v>16.666666666666668</v>
      </c>
      <c r="H10" s="323">
        <f t="shared" si="3"/>
        <v>7.2866666666666653</v>
      </c>
      <c r="I10" s="323">
        <f t="shared" si="3"/>
        <v>25.78125</v>
      </c>
      <c r="J10" s="323">
        <v>0</v>
      </c>
      <c r="K10" s="706"/>
      <c r="L10" s="736"/>
    </row>
    <row r="11" spans="2:13" ht="15" customHeight="1" thickBot="1">
      <c r="B11" s="707"/>
      <c r="C11" s="708"/>
      <c r="D11" s="710"/>
      <c r="E11" s="716"/>
      <c r="F11" s="326">
        <f>+IFERROR(F9/$J$9,0)</f>
        <v>0.89171433085982788</v>
      </c>
      <c r="G11" s="326">
        <f t="shared" ref="G11:I11" si="4">+IFERROR(G9/$J$9,0)</f>
        <v>3.6287851056080074E-2</v>
      </c>
      <c r="H11" s="326">
        <f t="shared" si="4"/>
        <v>1.5865048481718203E-2</v>
      </c>
      <c r="I11" s="326">
        <f t="shared" si="4"/>
        <v>5.6132769602373858E-2</v>
      </c>
      <c r="J11" s="326">
        <f>+SUM(F11:I11)</f>
        <v>1</v>
      </c>
      <c r="K11" s="706"/>
      <c r="L11" s="736"/>
    </row>
    <row r="12" spans="2:13" ht="15" customHeight="1">
      <c r="B12" s="707" t="s">
        <v>166</v>
      </c>
      <c r="C12" s="708">
        <v>0</v>
      </c>
      <c r="D12" s="714">
        <f>SUMPRODUCT(('KH - THEO DÕI LÒ'!$AG$4:$AG$34 = "BAZO") * ('KH - THEO DÕI LÒ'!$C$4:$C$34 &gt;= 'BCAO TUAN'!$B$1) * ('KH - THEO DÕI LÒ'!$C$4:$C$34 &lt;= 'BCAO TUAN'!$C$1) * 'KH - THEO DÕI LÒ'!$K$4:$K$34)</f>
        <v>0</v>
      </c>
      <c r="E12" s="715">
        <f t="shared" ref="E12" si="5">+IFERROR( D12/C12,0)</f>
        <v>0</v>
      </c>
      <c r="F12" s="321">
        <f>+SUMPRODUCT(('KH - THEO DÕI LÒ'!$AG$4:$AG$34="BAZO")*('KH - THEO DÕI LÒ'!$C$4:$C$34&gt;=$B$1)*('KH - THEO DÕI LÒ'!$C$4:$C$34&lt;=$C$1)*'KH - THEO DÕI LÒ'!$N$4:$N$34)</f>
        <v>0</v>
      </c>
      <c r="G12" s="321">
        <f>+SUMPRODUCT(('KH - THEO DÕI LÒ'!$AG$4:$AG$34="BAZO")*('KH - THEO DÕI LÒ'!$C$4:$C$34&gt;=$B$1)*('KH - THEO DÕI LÒ'!$C$4:$C$34&lt;=$C$1)*'KH - THEO DÕI LÒ'!$K$4:$K$34*'KH - THEO DÕI LÒ'!$U$4:$U$34)</f>
        <v>0</v>
      </c>
      <c r="H12" s="321">
        <f>+SUMPRODUCT(('KH - THEO DÕI LÒ'!$AG$4:$AG$34 = "BAZO") * ('KH - THEO DÕI LÒ'!$C$4:$C$34 &gt;= $B$1) * ('KH - THEO DÕI LÒ'!$C$4:$C$34 &lt;= $C$1)* 'KH - THEO DÕI LÒ'!$K$4:$K$34 * 'KH - THEO DÕI LÒ'!$V$4:$V$34)</f>
        <v>0</v>
      </c>
      <c r="I12" s="321">
        <f>+SUMPRODUCT(('KH - THEO DÕI LÒ'!$AG$4:$AG$34 = "BAZO") * ('KH - THEO DÕI LÒ'!$C$4:$C$34 &gt;= $B$1) * ('KH - THEO DÕI LÒ'!$C$4:$C$34 &lt;= $C$1)* 'KH - THEO DÕI LÒ'!$K$4:$K$34 * ('KH - THEO DÕI LÒ'!$W$4:$W$34 + 'KH - THEO DÕI LÒ'!$X$4:$X$34))</f>
        <v>0</v>
      </c>
      <c r="J12" s="484">
        <f>+SUM(F12,G12,H12,I12)</f>
        <v>0</v>
      </c>
      <c r="K12" s="706">
        <f>+IFERROR(J12/D12,0)</f>
        <v>0</v>
      </c>
      <c r="L12" s="736">
        <v>0</v>
      </c>
    </row>
    <row r="13" spans="2:13" ht="15" customHeight="1">
      <c r="B13" s="707"/>
      <c r="C13" s="708"/>
      <c r="D13" s="708"/>
      <c r="E13" s="716"/>
      <c r="F13" s="323">
        <f>IFERROR(F12/$D$12,0)</f>
        <v>0</v>
      </c>
      <c r="G13" s="323">
        <f t="shared" ref="G13:J13" si="6">IFERROR(G12/$D$12,0)</f>
        <v>0</v>
      </c>
      <c r="H13" s="323">
        <f t="shared" si="6"/>
        <v>0</v>
      </c>
      <c r="I13" s="323">
        <f t="shared" si="6"/>
        <v>0</v>
      </c>
      <c r="J13" s="323">
        <f t="shared" si="6"/>
        <v>0</v>
      </c>
      <c r="K13" s="706"/>
      <c r="L13" s="736"/>
    </row>
    <row r="14" spans="2:13" ht="15" customHeight="1">
      <c r="B14" s="738"/>
      <c r="C14" s="710"/>
      <c r="D14" s="710"/>
      <c r="E14" s="716"/>
      <c r="F14" s="326">
        <f>IFERROR(F12/$J$12,0)</f>
        <v>0</v>
      </c>
      <c r="G14" s="326">
        <f t="shared" ref="G14:J14" si="7">IFERROR(G12/$J$12,0)</f>
        <v>0</v>
      </c>
      <c r="H14" s="326">
        <f t="shared" si="7"/>
        <v>0</v>
      </c>
      <c r="I14" s="326">
        <f t="shared" si="7"/>
        <v>0</v>
      </c>
      <c r="J14" s="326">
        <f t="shared" si="7"/>
        <v>0</v>
      </c>
      <c r="K14" s="717"/>
      <c r="L14" s="737"/>
    </row>
    <row r="15" spans="2:13" ht="17.25" thickBot="1">
      <c r="B15" s="315" t="s">
        <v>10</v>
      </c>
      <c r="C15" s="316">
        <f>+SUM(C6:C14)</f>
        <v>0</v>
      </c>
      <c r="D15" s="316">
        <f>SUM(D6:D14)</f>
        <v>79000</v>
      </c>
      <c r="E15" s="314">
        <f>+IFERROR(D15/C15,0)</f>
        <v>0</v>
      </c>
      <c r="F15" s="316">
        <f>SUM(F6,F9,F12)</f>
        <v>29361804.399999831</v>
      </c>
      <c r="G15" s="316">
        <f>SUM(G6,G9,G12)</f>
        <v>11681786.399999935</v>
      </c>
      <c r="H15" s="316">
        <f>SUM(H6,H9,H12)</f>
        <v>11259686.399999935</v>
      </c>
      <c r="I15" s="316">
        <f>SUM(I6,I9,I12)</f>
        <v>12091942.649999935</v>
      </c>
      <c r="J15" s="316">
        <f>SUM(J6,J9,J12)</f>
        <v>64395219.849999636</v>
      </c>
      <c r="K15" s="317">
        <f>+J15/D15</f>
        <v>815.12936518986885</v>
      </c>
      <c r="L15" s="327">
        <v>0</v>
      </c>
    </row>
    <row r="16" spans="2:13" ht="15.75" customHeight="1" thickBot="1">
      <c r="B16" s="328" t="s">
        <v>357</v>
      </c>
      <c r="C16" s="492" t="s">
        <v>358</v>
      </c>
      <c r="D16" s="718" t="s">
        <v>359</v>
      </c>
      <c r="E16" s="719"/>
      <c r="F16" s="720" t="s">
        <v>416</v>
      </c>
      <c r="G16" s="721"/>
      <c r="H16" s="721"/>
      <c r="I16" s="721"/>
      <c r="J16" s="721"/>
      <c r="K16" s="721"/>
      <c r="L16" s="722"/>
    </row>
    <row r="17" spans="2:12" ht="22.5" customHeight="1">
      <c r="B17" s="329" t="s">
        <v>417</v>
      </c>
      <c r="C17" s="330" t="s">
        <v>418</v>
      </c>
      <c r="D17" s="729" t="s">
        <v>419</v>
      </c>
      <c r="E17" s="730"/>
      <c r="F17" s="723"/>
      <c r="G17" s="724"/>
      <c r="H17" s="724"/>
      <c r="I17" s="724"/>
      <c r="J17" s="724"/>
      <c r="K17" s="724"/>
      <c r="L17" s="725"/>
    </row>
    <row r="18" spans="2:12" ht="21" customHeight="1">
      <c r="B18" s="493" t="s">
        <v>420</v>
      </c>
      <c r="C18" s="494" t="s">
        <v>421</v>
      </c>
      <c r="D18" s="739" t="s">
        <v>419</v>
      </c>
      <c r="E18" s="740"/>
      <c r="F18" s="726"/>
      <c r="G18" s="727"/>
      <c r="H18" s="727"/>
      <c r="I18" s="727"/>
      <c r="J18" s="727"/>
      <c r="K18" s="727"/>
      <c r="L18" s="728"/>
    </row>
    <row r="19" spans="2:12" ht="15.75" thickBot="1">
      <c r="B19" s="331"/>
      <c r="C19" s="332"/>
      <c r="D19" s="332"/>
      <c r="E19" s="333"/>
      <c r="F19" s="332"/>
      <c r="G19" s="332"/>
      <c r="H19" s="332"/>
      <c r="I19" s="332"/>
      <c r="J19" s="332"/>
      <c r="K19" s="332"/>
      <c r="L19" s="334"/>
    </row>
    <row r="20" spans="2:12" ht="39.75" customHeight="1" thickBot="1">
      <c r="B20" s="731" t="s">
        <v>390</v>
      </c>
      <c r="C20" s="732"/>
      <c r="D20" s="732"/>
      <c r="E20" s="732"/>
      <c r="F20" s="732"/>
      <c r="G20" s="732"/>
      <c r="H20" s="732"/>
      <c r="I20" s="732"/>
      <c r="J20" s="732"/>
      <c r="K20" s="732"/>
      <c r="L20" s="733"/>
    </row>
    <row r="21" spans="2:12" ht="15" customHeight="1">
      <c r="B21" s="734" t="s">
        <v>341</v>
      </c>
      <c r="C21" s="681" t="s">
        <v>360</v>
      </c>
      <c r="D21" s="682"/>
      <c r="E21" s="682"/>
      <c r="F21" s="683" t="s">
        <v>343</v>
      </c>
      <c r="G21" s="684"/>
      <c r="H21" s="684"/>
      <c r="I21" s="684"/>
      <c r="J21" s="685"/>
      <c r="K21" s="686" t="s">
        <v>352</v>
      </c>
      <c r="L21" s="687"/>
    </row>
    <row r="22" spans="2:12" ht="29.25" thickBot="1">
      <c r="B22" s="735"/>
      <c r="C22" s="308" t="s">
        <v>353</v>
      </c>
      <c r="D22" s="308" t="s">
        <v>354</v>
      </c>
      <c r="E22" s="308" t="s">
        <v>355</v>
      </c>
      <c r="F22" s="308" t="s">
        <v>348</v>
      </c>
      <c r="G22" s="308" t="s">
        <v>349</v>
      </c>
      <c r="H22" s="308" t="s">
        <v>350</v>
      </c>
      <c r="I22" s="308" t="s">
        <v>351</v>
      </c>
      <c r="J22" s="308" t="s">
        <v>282</v>
      </c>
      <c r="K22" s="335" t="s">
        <v>361</v>
      </c>
      <c r="L22" s="336" t="s">
        <v>356</v>
      </c>
    </row>
    <row r="23" spans="2:12">
      <c r="B23" s="693" t="s">
        <v>164</v>
      </c>
      <c r="C23" s="694">
        <v>1398000</v>
      </c>
      <c r="D23" s="694">
        <v>20</v>
      </c>
      <c r="E23" s="695">
        <f>+IFERROR(C23/$C$32,0)</f>
        <v>0.6</v>
      </c>
      <c r="F23" s="309">
        <f>275*C23</f>
        <v>384450000</v>
      </c>
      <c r="G23" s="309">
        <f>11.6*C23</f>
        <v>16216800</v>
      </c>
      <c r="H23" s="337">
        <f>10.2*C23</f>
        <v>14259599.999999998</v>
      </c>
      <c r="I23" s="318">
        <f>15*$C$23+21*$C$23</f>
        <v>50328000</v>
      </c>
      <c r="J23" s="310">
        <f>+SUM(F23:I23)</f>
        <v>465254400</v>
      </c>
      <c r="K23" s="697">
        <f>IFERROR(J23/C23,0)</f>
        <v>332.8</v>
      </c>
      <c r="L23" s="703">
        <v>324</v>
      </c>
    </row>
    <row r="24" spans="2:12">
      <c r="B24" s="689"/>
      <c r="C24" s="679"/>
      <c r="D24" s="679"/>
      <c r="E24" s="696"/>
      <c r="F24" s="323">
        <f>IFERROR(F23/$C$23,0)</f>
        <v>275</v>
      </c>
      <c r="G24" s="323">
        <f t="shared" ref="G24:J24" si="8">IFERROR(G23/$C$23,0)</f>
        <v>11.6</v>
      </c>
      <c r="H24" s="323">
        <f t="shared" si="8"/>
        <v>10.199999999999999</v>
      </c>
      <c r="I24" s="323">
        <f t="shared" si="8"/>
        <v>36</v>
      </c>
      <c r="J24" s="323">
        <f t="shared" si="8"/>
        <v>332.8</v>
      </c>
      <c r="K24" s="698"/>
      <c r="L24" s="692"/>
    </row>
    <row r="25" spans="2:12">
      <c r="B25" s="690"/>
      <c r="C25" s="680"/>
      <c r="D25" s="680"/>
      <c r="E25" s="696"/>
      <c r="F25" s="325">
        <f>+IFERROR(F23/$J$23,0)</f>
        <v>0.82632211538461542</v>
      </c>
      <c r="G25" s="325">
        <f t="shared" ref="G25:J25" si="9">+IFERROR(G23/$J$23,0)</f>
        <v>3.4855769230769232E-2</v>
      </c>
      <c r="H25" s="325">
        <f t="shared" si="9"/>
        <v>3.0649038461538457E-2</v>
      </c>
      <c r="I25" s="325">
        <f t="shared" si="9"/>
        <v>0.10817307692307693</v>
      </c>
      <c r="J25" s="325">
        <f t="shared" si="9"/>
        <v>1</v>
      </c>
      <c r="K25" s="699"/>
      <c r="L25" s="704"/>
    </row>
    <row r="26" spans="2:12">
      <c r="B26" s="688" t="s">
        <v>184</v>
      </c>
      <c r="C26" s="678">
        <v>466000</v>
      </c>
      <c r="D26" s="678">
        <v>0</v>
      </c>
      <c r="E26" s="711">
        <f>+IFERROR(C26/$C$32,0)</f>
        <v>0.2</v>
      </c>
      <c r="F26" s="338">
        <f>155*C26</f>
        <v>72230000</v>
      </c>
      <c r="G26" s="312">
        <f>20.3*C26</f>
        <v>9459800</v>
      </c>
      <c r="H26" s="319">
        <f>14.9*C26</f>
        <v>6943400</v>
      </c>
      <c r="I26" s="319">
        <f>15*C26+21*C26</f>
        <v>16776000</v>
      </c>
      <c r="J26" s="313">
        <f>+SUM(F26:I26)</f>
        <v>105409200</v>
      </c>
      <c r="K26" s="700">
        <f t="shared" ref="K26" si="10">IFERROR(J26/C26,0)</f>
        <v>226.2</v>
      </c>
      <c r="L26" s="691">
        <v>0</v>
      </c>
    </row>
    <row r="27" spans="2:12">
      <c r="B27" s="689"/>
      <c r="C27" s="679"/>
      <c r="D27" s="679"/>
      <c r="E27" s="712"/>
      <c r="F27" s="339">
        <f>IFERROR(F26/$C$26,0)</f>
        <v>155</v>
      </c>
      <c r="G27" s="339">
        <f t="shared" ref="G27:J27" si="11">IFERROR(G26/$C$26,0)</f>
        <v>20.3</v>
      </c>
      <c r="H27" s="339">
        <f t="shared" si="11"/>
        <v>14.9</v>
      </c>
      <c r="I27" s="339">
        <f t="shared" si="11"/>
        <v>36</v>
      </c>
      <c r="J27" s="339">
        <f t="shared" si="11"/>
        <v>226.2</v>
      </c>
      <c r="K27" s="698"/>
      <c r="L27" s="692"/>
    </row>
    <row r="28" spans="2:12">
      <c r="B28" s="690"/>
      <c r="C28" s="680"/>
      <c r="D28" s="680"/>
      <c r="E28" s="713"/>
      <c r="F28" s="340">
        <f>+IFERROR(F26/$J$26,0)</f>
        <v>0.68523430592396106</v>
      </c>
      <c r="G28" s="325">
        <f t="shared" ref="G28:J28" si="12">+IFERROR(G26/$J$26,0)</f>
        <v>8.9743589743589744E-2</v>
      </c>
      <c r="H28" s="325">
        <f t="shared" si="12"/>
        <v>6.5870910698496904E-2</v>
      </c>
      <c r="I28" s="325">
        <f t="shared" si="12"/>
        <v>0.15915119363395225</v>
      </c>
      <c r="J28" s="325">
        <f t="shared" si="12"/>
        <v>1</v>
      </c>
      <c r="K28" s="699"/>
      <c r="L28" s="692"/>
    </row>
    <row r="29" spans="2:12">
      <c r="B29" s="688" t="s">
        <v>166</v>
      </c>
      <c r="C29" s="678">
        <v>466000</v>
      </c>
      <c r="D29" s="678">
        <v>20</v>
      </c>
      <c r="E29" s="696">
        <f>+IFERROR(C29/$C$32,0)</f>
        <v>0.2</v>
      </c>
      <c r="F29" s="312">
        <f>77*C29</f>
        <v>35882000</v>
      </c>
      <c r="G29" s="312">
        <f>24.3*C29</f>
        <v>11323800</v>
      </c>
      <c r="H29" s="341">
        <f>7.1*C29</f>
        <v>3308600</v>
      </c>
      <c r="I29" s="311">
        <f>15*C29+8*C29</f>
        <v>10718000</v>
      </c>
      <c r="J29" s="313">
        <f>+SUM(F29:I29)</f>
        <v>61232400</v>
      </c>
      <c r="K29" s="700">
        <f>IFERROR(J29/C29,0)</f>
        <v>131.4</v>
      </c>
      <c r="L29" s="692">
        <v>142</v>
      </c>
    </row>
    <row r="30" spans="2:12">
      <c r="B30" s="689"/>
      <c r="C30" s="679"/>
      <c r="D30" s="679"/>
      <c r="E30" s="696"/>
      <c r="F30" s="323">
        <f>IFERROR(F29/$C$29,0)</f>
        <v>77</v>
      </c>
      <c r="G30" s="323">
        <f t="shared" ref="G30:J30" si="13">IFERROR(G29/$C$29,0)</f>
        <v>24.3</v>
      </c>
      <c r="H30" s="323">
        <f t="shared" si="13"/>
        <v>7.1</v>
      </c>
      <c r="I30" s="323">
        <f t="shared" si="13"/>
        <v>23</v>
      </c>
      <c r="J30" s="323">
        <f t="shared" si="13"/>
        <v>131.4</v>
      </c>
      <c r="K30" s="698"/>
      <c r="L30" s="692"/>
    </row>
    <row r="31" spans="2:12">
      <c r="B31" s="690"/>
      <c r="C31" s="680"/>
      <c r="D31" s="680"/>
      <c r="E31" s="696"/>
      <c r="F31" s="325">
        <f>+IFERROR(F29/$J$29,0)</f>
        <v>0.58599695585996958</v>
      </c>
      <c r="G31" s="325">
        <f t="shared" ref="G31:J31" si="14">+IFERROR(G29/$J$29,0)</f>
        <v>0.18493150684931506</v>
      </c>
      <c r="H31" s="325">
        <f t="shared" si="14"/>
        <v>5.4033485540334852E-2</v>
      </c>
      <c r="I31" s="325">
        <f t="shared" si="14"/>
        <v>0.17503805175038051</v>
      </c>
      <c r="J31" s="325">
        <f t="shared" si="14"/>
        <v>1</v>
      </c>
      <c r="K31" s="701"/>
      <c r="L31" s="702"/>
    </row>
    <row r="32" spans="2:12" ht="17.25" thickBot="1">
      <c r="B32" s="315" t="s">
        <v>10</v>
      </c>
      <c r="C32" s="316">
        <f>+SUM(C23:C29)</f>
        <v>2330000</v>
      </c>
      <c r="D32" s="316">
        <f>+SUM(D23:D29)</f>
        <v>40</v>
      </c>
      <c r="E32" s="342">
        <f>+SUM(E23:E29)</f>
        <v>1</v>
      </c>
      <c r="F32" s="316">
        <f>+SUM(F23:F29)</f>
        <v>492562431.51155645</v>
      </c>
      <c r="G32" s="316">
        <f t="shared" ref="G32:H32" si="15">+SUM(G23:G29)</f>
        <v>37000432.024599358</v>
      </c>
      <c r="H32" s="316">
        <f t="shared" si="15"/>
        <v>24511625.196519945</v>
      </c>
      <c r="I32" s="316">
        <f>+SUM(I23:I29)</f>
        <v>77822072.267324269</v>
      </c>
      <c r="J32" s="317">
        <f>SUM(J23,J26,J29)</f>
        <v>631896000</v>
      </c>
      <c r="K32" s="317">
        <f>IFERROR(J32/C32,0)</f>
        <v>271.2</v>
      </c>
      <c r="L32" s="343">
        <v>282</v>
      </c>
    </row>
    <row r="35" spans="4:5">
      <c r="E35" s="518"/>
    </row>
    <row r="36" spans="4:5">
      <c r="D36" s="518"/>
      <c r="E36" s="518"/>
    </row>
    <row r="37" spans="4:5">
      <c r="D37" s="518"/>
      <c r="E37" s="518"/>
    </row>
    <row r="38" spans="4:5">
      <c r="D38" s="518"/>
      <c r="E38" s="518"/>
    </row>
  </sheetData>
  <mergeCells count="51">
    <mergeCell ref="B2:L2"/>
    <mergeCell ref="B3:L3"/>
    <mergeCell ref="K4:L4"/>
    <mergeCell ref="L6:L8"/>
    <mergeCell ref="L9:L11"/>
    <mergeCell ref="B4:B5"/>
    <mergeCell ref="C4:E4"/>
    <mergeCell ref="F4:J4"/>
    <mergeCell ref="B6:B8"/>
    <mergeCell ref="C6:C8"/>
    <mergeCell ref="D6:D8"/>
    <mergeCell ref="E6:E8"/>
    <mergeCell ref="B20:L20"/>
    <mergeCell ref="B21:B22"/>
    <mergeCell ref="E9:E11"/>
    <mergeCell ref="K9:K11"/>
    <mergeCell ref="L12:L14"/>
    <mergeCell ref="B12:B14"/>
    <mergeCell ref="D18:E18"/>
    <mergeCell ref="L23:L25"/>
    <mergeCell ref="B26:B28"/>
    <mergeCell ref="C26:C28"/>
    <mergeCell ref="K6:K8"/>
    <mergeCell ref="B9:B11"/>
    <mergeCell ref="C9:C11"/>
    <mergeCell ref="D9:D11"/>
    <mergeCell ref="E26:E28"/>
    <mergeCell ref="K26:K28"/>
    <mergeCell ref="C12:C14"/>
    <mergeCell ref="D12:D14"/>
    <mergeCell ref="E12:E14"/>
    <mergeCell ref="K12:K14"/>
    <mergeCell ref="D16:E16"/>
    <mergeCell ref="F16:L18"/>
    <mergeCell ref="D17:E17"/>
    <mergeCell ref="D26:D28"/>
    <mergeCell ref="C21:E21"/>
    <mergeCell ref="F21:J21"/>
    <mergeCell ref="K21:L21"/>
    <mergeCell ref="B29:B31"/>
    <mergeCell ref="L26:L28"/>
    <mergeCell ref="B23:B25"/>
    <mergeCell ref="C23:C25"/>
    <mergeCell ref="D23:D25"/>
    <mergeCell ref="E23:E25"/>
    <mergeCell ref="K23:K25"/>
    <mergeCell ref="C29:C31"/>
    <mergeCell ref="D29:D31"/>
    <mergeCell ref="E29:E31"/>
    <mergeCell ref="K29:K31"/>
    <mergeCell ref="L29:L31"/>
  </mergeCells>
  <conditionalFormatting sqref="E6 E15 E19 E9 E12">
    <cfRule type="dataBar" priority="1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{B904CC14-A297-4948-BAEC-BA4573AEE25F}</x14:id>
        </ext>
      </extLst>
    </cfRule>
  </conditionalFormatting>
  <conditionalFormatting sqref="F8:J8">
    <cfRule type="dataBar" priority="12">
      <dataBar>
        <cfvo type="num" val="0"/>
        <cfvo type="num" val="1"/>
        <color theme="3" tint="0.39997558519241921"/>
      </dataBar>
      <extLst>
        <ext xmlns:x14="http://schemas.microsoft.com/office/spreadsheetml/2009/9/main" uri="{B025F937-C7B1-47D3-B67F-A62EFF666E3E}">
          <x14:id>{7795810F-39AC-4502-84A4-5BA40A7F3EC7}</x14:id>
        </ext>
      </extLst>
    </cfRule>
  </conditionalFormatting>
  <conditionalFormatting sqref="F14:J14">
    <cfRule type="dataBar" priority="10">
      <dataBar>
        <cfvo type="num" val="0"/>
        <cfvo type="num" val="1"/>
        <color theme="3" tint="0.39997558519241921"/>
      </dataBar>
      <extLst>
        <ext xmlns:x14="http://schemas.microsoft.com/office/spreadsheetml/2009/9/main" uri="{B025F937-C7B1-47D3-B67F-A62EFF666E3E}">
          <x14:id>{90990C33-59A1-4153-8744-F621FFC4181B}</x14:id>
        </ext>
      </extLst>
    </cfRule>
  </conditionalFormatting>
  <conditionalFormatting sqref="E23 E26 E29 E32">
    <cfRule type="dataBar" priority="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{0072CE55-1222-4C1D-BBC7-A17A1E36356B}</x14:id>
        </ext>
      </extLst>
    </cfRule>
  </conditionalFormatting>
  <conditionalFormatting sqref="F25:J25">
    <cfRule type="dataBar" priority="5">
      <dataBar>
        <cfvo type="num" val="0"/>
        <cfvo type="num" val="1"/>
        <color theme="3" tint="0.39997558519241921"/>
      </dataBar>
      <extLst>
        <ext xmlns:x14="http://schemas.microsoft.com/office/spreadsheetml/2009/9/main" uri="{B025F937-C7B1-47D3-B67F-A62EFF666E3E}">
          <x14:id>{C1397F85-0EE2-4646-A2C7-3C1608C24953}</x14:id>
        </ext>
      </extLst>
    </cfRule>
  </conditionalFormatting>
  <conditionalFormatting sqref="F28:J28">
    <cfRule type="dataBar" priority="4">
      <dataBar>
        <cfvo type="num" val="0"/>
        <cfvo type="num" val="1"/>
        <color theme="3" tint="0.39997558519241921"/>
      </dataBar>
      <extLst>
        <ext xmlns:x14="http://schemas.microsoft.com/office/spreadsheetml/2009/9/main" uri="{B025F937-C7B1-47D3-B67F-A62EFF666E3E}">
          <x14:id>{C99477C7-FCD0-46CF-8B25-E9CCEDBB8232}</x14:id>
        </ext>
      </extLst>
    </cfRule>
  </conditionalFormatting>
  <conditionalFormatting sqref="F31:J31">
    <cfRule type="dataBar" priority="3">
      <dataBar>
        <cfvo type="num" val="0"/>
        <cfvo type="num" val="1"/>
        <color theme="3" tint="0.39997558519241921"/>
      </dataBar>
      <extLst>
        <ext xmlns:x14="http://schemas.microsoft.com/office/spreadsheetml/2009/9/main" uri="{B025F937-C7B1-47D3-B67F-A62EFF666E3E}">
          <x14:id>{E008BAFC-9FEE-413C-A24D-9261E4734126}</x14:id>
        </ext>
      </extLst>
    </cfRule>
  </conditionalFormatting>
  <conditionalFormatting sqref="F11:I11">
    <cfRule type="dataBar" priority="2">
      <dataBar>
        <cfvo type="num" val="0"/>
        <cfvo type="num" val="1"/>
        <color theme="3" tint="0.39997558519241921"/>
      </dataBar>
      <extLst>
        <ext xmlns:x14="http://schemas.microsoft.com/office/spreadsheetml/2009/9/main" uri="{B025F937-C7B1-47D3-B67F-A62EFF666E3E}">
          <x14:id>{B6AE045B-6DB6-4A94-A358-DC311815FE86}</x14:id>
        </ext>
      </extLst>
    </cfRule>
  </conditionalFormatting>
  <conditionalFormatting sqref="J11">
    <cfRule type="dataBar" priority="1">
      <dataBar>
        <cfvo type="num" val="0"/>
        <cfvo type="num" val="1"/>
        <color theme="3" tint="0.39997558519241921"/>
      </dataBar>
      <extLst>
        <ext xmlns:x14="http://schemas.microsoft.com/office/spreadsheetml/2009/9/main" uri="{B025F937-C7B1-47D3-B67F-A62EFF666E3E}">
          <x14:id>{386151B5-0116-4584-9ED0-6A27712EECC6}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04CC14-A297-4948-BAEC-BA4573AEE2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E6 E15 E19 E9 E12</xm:sqref>
        </x14:conditionalFormatting>
        <x14:conditionalFormatting xmlns:xm="http://schemas.microsoft.com/office/excel/2006/main">
          <x14:cfRule type="dataBar" id="{7795810F-39AC-4502-84A4-5BA40A7F3E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F8:J8</xm:sqref>
        </x14:conditionalFormatting>
        <x14:conditionalFormatting xmlns:xm="http://schemas.microsoft.com/office/excel/2006/main">
          <x14:cfRule type="dataBar" id="{90990C33-59A1-4153-8744-F621FFC418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F14:J14</xm:sqref>
        </x14:conditionalFormatting>
        <x14:conditionalFormatting xmlns:xm="http://schemas.microsoft.com/office/excel/2006/main">
          <x14:cfRule type="dataBar" id="{0072CE55-1222-4C1D-BBC7-A17A1E3635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 E26 E29 E32</xm:sqref>
        </x14:conditionalFormatting>
        <x14:conditionalFormatting xmlns:xm="http://schemas.microsoft.com/office/excel/2006/main">
          <x14:cfRule type="dataBar" id="{C1397F85-0EE2-4646-A2C7-3C1608C249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F25:J25</xm:sqref>
        </x14:conditionalFormatting>
        <x14:conditionalFormatting xmlns:xm="http://schemas.microsoft.com/office/excel/2006/main">
          <x14:cfRule type="dataBar" id="{C99477C7-FCD0-46CF-8B25-E9CCEDBB82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F28:J28</xm:sqref>
        </x14:conditionalFormatting>
        <x14:conditionalFormatting xmlns:xm="http://schemas.microsoft.com/office/excel/2006/main">
          <x14:cfRule type="dataBar" id="{E008BAFC-9FEE-413C-A24D-9261E47341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F31:J31</xm:sqref>
        </x14:conditionalFormatting>
        <x14:conditionalFormatting xmlns:xm="http://schemas.microsoft.com/office/excel/2006/main">
          <x14:cfRule type="dataBar" id="{B6AE045B-6DB6-4A94-A358-DC311815FE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F11:I11</xm:sqref>
        </x14:conditionalFormatting>
        <x14:conditionalFormatting xmlns:xm="http://schemas.microsoft.com/office/excel/2006/main">
          <x14:cfRule type="dataBar" id="{386151B5-0116-4584-9ED0-6A27712EEC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workbookViewId="0">
      <selection activeCell="G5" sqref="G5"/>
    </sheetView>
  </sheetViews>
  <sheetFormatPr defaultRowHeight="15"/>
  <cols>
    <col min="1" max="1" width="13.85546875" style="1" customWidth="1"/>
    <col min="2" max="2" width="13" style="1" customWidth="1"/>
    <col min="3" max="3" width="11.28515625" style="1" customWidth="1"/>
    <col min="4" max="4" width="16.28515625" style="1" customWidth="1"/>
    <col min="5" max="5" width="10.85546875" style="1" customWidth="1"/>
    <col min="6" max="6" width="13.42578125" style="1" customWidth="1"/>
    <col min="7" max="7" width="14.28515625" style="1" customWidth="1"/>
    <col min="8" max="8" width="13.85546875" style="1" customWidth="1"/>
    <col min="9" max="9" width="12.42578125" style="1" customWidth="1"/>
    <col min="10" max="10" width="17.7109375" style="1" customWidth="1"/>
    <col min="11" max="14" width="12.85546875" style="1" customWidth="1"/>
    <col min="15" max="15" width="10.7109375" style="1" customWidth="1"/>
    <col min="16" max="16384" width="9.140625" style="1"/>
  </cols>
  <sheetData>
    <row r="1" spans="1:15" ht="30.75" customHeight="1" thickBot="1">
      <c r="A1" s="769" t="s">
        <v>259</v>
      </c>
      <c r="B1" s="769"/>
      <c r="C1" s="769"/>
      <c r="D1" s="769"/>
      <c r="E1" s="769"/>
      <c r="F1" s="769"/>
      <c r="G1" s="769"/>
      <c r="H1" s="769"/>
      <c r="I1" s="769"/>
      <c r="J1" s="769"/>
      <c r="K1" s="769"/>
      <c r="L1" s="769"/>
      <c r="M1" s="769"/>
      <c r="N1" s="223"/>
    </row>
    <row r="2" spans="1:15" ht="22.5" customHeight="1" thickBot="1">
      <c r="A2" s="757" t="s">
        <v>260</v>
      </c>
      <c r="B2" s="758"/>
      <c r="C2" s="758"/>
      <c r="D2" s="758"/>
      <c r="E2" s="758"/>
      <c r="F2" s="758"/>
      <c r="G2" s="758"/>
      <c r="H2" s="758"/>
      <c r="I2" s="758"/>
      <c r="J2" s="758"/>
      <c r="K2" s="758"/>
      <c r="L2" s="758"/>
      <c r="M2" s="758"/>
      <c r="N2" s="758"/>
      <c r="O2" s="759"/>
    </row>
    <row r="3" spans="1:15" ht="19.5" customHeight="1">
      <c r="A3" s="766" t="s">
        <v>0</v>
      </c>
      <c r="B3" s="768" t="s">
        <v>168</v>
      </c>
      <c r="C3" s="768"/>
      <c r="D3" s="768"/>
      <c r="E3" s="768" t="s">
        <v>169</v>
      </c>
      <c r="F3" s="768"/>
      <c r="G3" s="768"/>
      <c r="H3" s="768" t="s">
        <v>170</v>
      </c>
      <c r="I3" s="768"/>
      <c r="J3" s="768"/>
      <c r="K3" s="777" t="s">
        <v>171</v>
      </c>
      <c r="L3" s="778"/>
      <c r="M3" s="778"/>
      <c r="N3" s="779"/>
      <c r="O3" s="772" t="s">
        <v>124</v>
      </c>
    </row>
    <row r="4" spans="1:15" ht="19.5" customHeight="1" thickBot="1">
      <c r="A4" s="767"/>
      <c r="B4" s="168" t="s">
        <v>160</v>
      </c>
      <c r="C4" s="168" t="s">
        <v>9</v>
      </c>
      <c r="D4" s="168" t="s">
        <v>165</v>
      </c>
      <c r="E4" s="168" t="s">
        <v>160</v>
      </c>
      <c r="F4" s="168" t="s">
        <v>9</v>
      </c>
      <c r="G4" s="168" t="s">
        <v>165</v>
      </c>
      <c r="H4" s="168" t="s">
        <v>160</v>
      </c>
      <c r="I4" s="168" t="s">
        <v>9</v>
      </c>
      <c r="J4" s="168" t="s">
        <v>165</v>
      </c>
      <c r="K4" s="168" t="s">
        <v>157</v>
      </c>
      <c r="L4" s="168" t="s">
        <v>13</v>
      </c>
      <c r="M4" s="168" t="s">
        <v>156</v>
      </c>
      <c r="N4" s="232" t="s">
        <v>14</v>
      </c>
      <c r="O4" s="773"/>
    </row>
    <row r="5" spans="1:15" ht="21.75" customHeight="1">
      <c r="A5" s="174" t="s">
        <v>167</v>
      </c>
      <c r="B5" s="169">
        <v>2012</v>
      </c>
      <c r="C5" s="169">
        <v>1101</v>
      </c>
      <c r="D5" s="177">
        <f>+C5/B5</f>
        <v>0.54721669980119281</v>
      </c>
      <c r="E5" s="169">
        <v>243000</v>
      </c>
      <c r="F5" s="169">
        <v>174846</v>
      </c>
      <c r="G5" s="177">
        <f t="shared" ref="G5:G6" si="0">+F5/E5</f>
        <v>0.71953086419753087</v>
      </c>
      <c r="H5" s="169">
        <v>464373000</v>
      </c>
      <c r="I5" s="169">
        <v>325405960</v>
      </c>
      <c r="J5" s="177">
        <f t="shared" ref="J5:J6" si="1">+I5/H5</f>
        <v>0.70074263576909079</v>
      </c>
      <c r="K5" s="169">
        <v>14408454</v>
      </c>
      <c r="L5" s="169">
        <v>12226064</v>
      </c>
      <c r="M5" s="169">
        <v>22655427</v>
      </c>
      <c r="N5" s="233">
        <v>17040000</v>
      </c>
      <c r="O5" s="774">
        <f>SUM(I7,K7:N7)/(C7*1000)</f>
        <v>317.77778837209303</v>
      </c>
    </row>
    <row r="6" spans="1:15" ht="21.75" customHeight="1">
      <c r="A6" s="175" t="s">
        <v>166</v>
      </c>
      <c r="B6" s="166">
        <v>216</v>
      </c>
      <c r="C6" s="166">
        <v>189</v>
      </c>
      <c r="D6" s="178">
        <f>+C6/B6</f>
        <v>0.875</v>
      </c>
      <c r="E6" s="166">
        <v>9930</v>
      </c>
      <c r="F6" s="166">
        <v>4075</v>
      </c>
      <c r="G6" s="178">
        <f t="shared" si="0"/>
        <v>0.41037260825780464</v>
      </c>
      <c r="H6" s="166">
        <v>17476800</v>
      </c>
      <c r="I6" s="166">
        <v>8282587</v>
      </c>
      <c r="J6" s="178">
        <f t="shared" si="1"/>
        <v>0.47391896685892154</v>
      </c>
      <c r="K6" s="166">
        <v>3837978</v>
      </c>
      <c r="L6" s="166">
        <v>1427576</v>
      </c>
      <c r="M6" s="166">
        <v>1589301</v>
      </c>
      <c r="N6" s="234">
        <v>3060000</v>
      </c>
      <c r="O6" s="775"/>
    </row>
    <row r="7" spans="1:15" ht="21.75" customHeight="1" thickBot="1">
      <c r="A7" s="770" t="s">
        <v>10</v>
      </c>
      <c r="B7" s="771"/>
      <c r="C7" s="172">
        <f>SUM(C5:C6)</f>
        <v>1290</v>
      </c>
      <c r="D7" s="179">
        <f>C7/SUM(B5:B6)</f>
        <v>0.57899461400359065</v>
      </c>
      <c r="E7" s="173"/>
      <c r="F7" s="172">
        <f>SUM(F5:F6)</f>
        <v>178921</v>
      </c>
      <c r="G7" s="179">
        <f>F7/SUM(E5:E6)</f>
        <v>0.70739334993871827</v>
      </c>
      <c r="H7" s="173"/>
      <c r="I7" s="172">
        <f>SUM(I5:I6)</f>
        <v>333688547</v>
      </c>
      <c r="J7" s="179">
        <f>+(SUM(H5:H6)-I7)/SUM(H5:H6)</f>
        <v>0.30748430942588334</v>
      </c>
      <c r="K7" s="172">
        <f t="shared" ref="K7:N7" si="2">SUM(K5:K6)</f>
        <v>18246432</v>
      </c>
      <c r="L7" s="172">
        <f t="shared" si="2"/>
        <v>13653640</v>
      </c>
      <c r="M7" s="172">
        <f t="shared" si="2"/>
        <v>24244728</v>
      </c>
      <c r="N7" s="172">
        <f t="shared" si="2"/>
        <v>20100000</v>
      </c>
      <c r="O7" s="776"/>
    </row>
    <row r="8" spans="1:15" ht="22.5" customHeight="1" thickBot="1">
      <c r="A8" s="757" t="s">
        <v>176</v>
      </c>
      <c r="B8" s="758"/>
      <c r="C8" s="758"/>
      <c r="D8" s="758"/>
      <c r="E8" s="758"/>
      <c r="F8" s="758"/>
      <c r="G8" s="758"/>
      <c r="H8" s="758"/>
      <c r="I8" s="758"/>
      <c r="J8" s="758"/>
      <c r="K8" s="758"/>
      <c r="L8" s="758"/>
      <c r="M8" s="758"/>
      <c r="N8" s="758"/>
      <c r="O8" s="759"/>
    </row>
    <row r="9" spans="1:15" ht="15" customHeight="1">
      <c r="A9" s="766" t="s">
        <v>0</v>
      </c>
      <c r="B9" s="768" t="s">
        <v>168</v>
      </c>
      <c r="C9" s="768"/>
      <c r="D9" s="768"/>
      <c r="E9" s="768" t="s">
        <v>169</v>
      </c>
      <c r="F9" s="768"/>
      <c r="G9" s="768"/>
      <c r="H9" s="768" t="s">
        <v>170</v>
      </c>
      <c r="I9" s="768"/>
      <c r="J9" s="768"/>
      <c r="K9" s="768" t="s">
        <v>171</v>
      </c>
      <c r="L9" s="768"/>
      <c r="M9" s="768"/>
      <c r="N9" s="235"/>
      <c r="O9" s="764" t="s">
        <v>175</v>
      </c>
    </row>
    <row r="10" spans="1:15" ht="15.75" thickBot="1">
      <c r="A10" s="767"/>
      <c r="B10" s="168" t="s">
        <v>172</v>
      </c>
      <c r="C10" s="168" t="s">
        <v>173</v>
      </c>
      <c r="D10" s="168" t="s">
        <v>174</v>
      </c>
      <c r="E10" s="168" t="s">
        <v>172</v>
      </c>
      <c r="F10" s="168" t="s">
        <v>173</v>
      </c>
      <c r="G10" s="168" t="s">
        <v>174</v>
      </c>
      <c r="H10" s="168" t="s">
        <v>172</v>
      </c>
      <c r="I10" s="168" t="s">
        <v>173</v>
      </c>
      <c r="J10" s="168" t="s">
        <v>174</v>
      </c>
      <c r="K10" s="168" t="s">
        <v>172</v>
      </c>
      <c r="L10" s="168" t="s">
        <v>173</v>
      </c>
      <c r="M10" s="168" t="s">
        <v>174</v>
      </c>
      <c r="N10" s="236"/>
      <c r="O10" s="765"/>
    </row>
    <row r="11" spans="1:15" ht="19.5" customHeight="1">
      <c r="A11" s="174" t="s">
        <v>167</v>
      </c>
      <c r="B11" s="754"/>
      <c r="C11" s="169">
        <v>861.7</v>
      </c>
      <c r="D11" s="170">
        <f>C5</f>
        <v>1101</v>
      </c>
      <c r="E11" s="754">
        <f ca="1">SUM(E11:E12)</f>
        <v>0</v>
      </c>
      <c r="F11" s="169">
        <v>127896</v>
      </c>
      <c r="G11" s="170">
        <v>210851</v>
      </c>
      <c r="H11" s="754">
        <f ca="1">SUM(H11:H12)</f>
        <v>0</v>
      </c>
      <c r="I11" s="169">
        <f>+F11*1736</f>
        <v>222027456</v>
      </c>
      <c r="J11" s="170">
        <v>415376470</v>
      </c>
      <c r="K11" s="754"/>
      <c r="L11" s="754">
        <v>51935688.1475344</v>
      </c>
      <c r="M11" s="754">
        <f>SUM(K7:M7)</f>
        <v>56144800</v>
      </c>
      <c r="N11" s="237"/>
      <c r="O11" s="761">
        <v>339</v>
      </c>
    </row>
    <row r="12" spans="1:15" ht="19.5" customHeight="1">
      <c r="A12" s="175" t="s">
        <v>166</v>
      </c>
      <c r="B12" s="755"/>
      <c r="C12" s="166">
        <v>139</v>
      </c>
      <c r="D12" s="167">
        <f>C6</f>
        <v>189</v>
      </c>
      <c r="E12" s="755"/>
      <c r="F12" s="166">
        <v>12143</v>
      </c>
      <c r="G12" s="167">
        <v>11808</v>
      </c>
      <c r="H12" s="755"/>
      <c r="I12" s="166">
        <f>+F12*1721</f>
        <v>20898103</v>
      </c>
      <c r="J12" s="167">
        <v>23757696</v>
      </c>
      <c r="K12" s="755"/>
      <c r="L12" s="755"/>
      <c r="M12" s="755"/>
      <c r="N12" s="238"/>
      <c r="O12" s="762"/>
    </row>
    <row r="13" spans="1:15" ht="19.5" customHeight="1">
      <c r="A13" s="175" t="s">
        <v>10</v>
      </c>
      <c r="B13" s="755"/>
      <c r="C13" s="166">
        <f>SUM(C11:C12)</f>
        <v>1000.7</v>
      </c>
      <c r="D13" s="166">
        <f t="shared" ref="D13:J13" si="3">SUM(D11:D12)</f>
        <v>1290</v>
      </c>
      <c r="E13" s="755"/>
      <c r="F13" s="166">
        <f t="shared" si="3"/>
        <v>140039</v>
      </c>
      <c r="G13" s="166">
        <f t="shared" si="3"/>
        <v>222659</v>
      </c>
      <c r="H13" s="755"/>
      <c r="I13" s="166">
        <f t="shared" si="3"/>
        <v>242925559</v>
      </c>
      <c r="J13" s="166">
        <f t="shared" si="3"/>
        <v>439134166</v>
      </c>
      <c r="K13" s="755"/>
      <c r="L13" s="760"/>
      <c r="M13" s="760"/>
      <c r="N13" s="239"/>
      <c r="O13" s="763"/>
    </row>
    <row r="14" spans="1:15" ht="21.75" customHeight="1" thickBot="1">
      <c r="A14" s="176" t="s">
        <v>165</v>
      </c>
      <c r="B14" s="756"/>
      <c r="C14" s="179">
        <f>+(C7-SUM(C11:C12))/C7</f>
        <v>0.22426356589147284</v>
      </c>
      <c r="D14" s="171"/>
      <c r="E14" s="756"/>
      <c r="F14" s="171"/>
      <c r="G14" s="171"/>
      <c r="H14" s="756"/>
      <c r="I14" s="179">
        <f>+(443029024-I7)/443029024</f>
        <v>0.24680206279216596</v>
      </c>
      <c r="J14" s="179">
        <v>0</v>
      </c>
      <c r="K14" s="756"/>
      <c r="L14" s="179">
        <f>+(94716329.4386432-SUM(K7:M7))/94716329.4386432</f>
        <v>0.4072320968015305</v>
      </c>
      <c r="M14" s="171"/>
      <c r="N14" s="240"/>
      <c r="O14" s="180">
        <f>+(O11-O5)/O11</f>
        <v>6.2602394182616442E-2</v>
      </c>
    </row>
    <row r="15" spans="1:15" ht="15.75" thickBot="1"/>
    <row r="16" spans="1:15" ht="21.75" customHeight="1" thickBot="1">
      <c r="A16" s="629" t="s">
        <v>178</v>
      </c>
      <c r="B16" s="630"/>
      <c r="C16" s="630"/>
      <c r="D16" s="630"/>
      <c r="E16" s="630"/>
      <c r="F16" s="630"/>
      <c r="G16" s="630"/>
      <c r="H16" s="630"/>
      <c r="I16" s="630"/>
      <c r="J16" s="631"/>
    </row>
    <row r="17" spans="1:10" ht="21.75" customHeight="1" thickBot="1">
      <c r="A17" s="629" t="s">
        <v>179</v>
      </c>
      <c r="B17" s="630"/>
      <c r="C17" s="630"/>
      <c r="D17" s="630"/>
      <c r="E17" s="630"/>
      <c r="F17" s="630"/>
      <c r="G17" s="630"/>
      <c r="H17" s="630"/>
      <c r="I17" s="630"/>
      <c r="J17" s="631"/>
    </row>
    <row r="18" spans="1:10" ht="21" customHeight="1">
      <c r="A18" s="632" t="s">
        <v>0</v>
      </c>
      <c r="B18" s="634" t="s">
        <v>158</v>
      </c>
      <c r="C18" s="636" t="s">
        <v>129</v>
      </c>
      <c r="D18" s="636"/>
      <c r="E18" s="636"/>
      <c r="F18" s="636"/>
      <c r="G18" s="636" t="s">
        <v>7</v>
      </c>
      <c r="H18" s="636"/>
      <c r="I18" s="636"/>
      <c r="J18" s="637" t="s">
        <v>163</v>
      </c>
    </row>
    <row r="19" spans="1:10" ht="21" customHeight="1">
      <c r="A19" s="633"/>
      <c r="B19" s="635"/>
      <c r="C19" s="635" t="s">
        <v>155</v>
      </c>
      <c r="D19" s="635"/>
      <c r="E19" s="160" t="s">
        <v>131</v>
      </c>
      <c r="F19" s="160" t="s">
        <v>133</v>
      </c>
      <c r="G19" s="160" t="s">
        <v>156</v>
      </c>
      <c r="H19" s="160" t="s">
        <v>157</v>
      </c>
      <c r="I19" s="160" t="s">
        <v>13</v>
      </c>
      <c r="J19" s="638"/>
    </row>
    <row r="20" spans="1:10" ht="34.5" customHeight="1">
      <c r="A20" s="141" t="s">
        <v>162</v>
      </c>
      <c r="B20" s="139">
        <v>1670</v>
      </c>
      <c r="C20" s="640">
        <v>243000</v>
      </c>
      <c r="D20" s="640"/>
      <c r="E20" s="159">
        <v>1911</v>
      </c>
      <c r="F20" s="159">
        <f>C20*E20</f>
        <v>464373000</v>
      </c>
      <c r="G20" s="159">
        <f>15*B20*1000</f>
        <v>25050000</v>
      </c>
      <c r="H20" s="159">
        <f>+B20*11*1000</f>
        <v>18370000</v>
      </c>
      <c r="I20" s="159">
        <f>+B20*11*1000</f>
        <v>18370000</v>
      </c>
      <c r="J20" s="155">
        <f>SUM(F20:I20)</f>
        <v>526163000</v>
      </c>
    </row>
    <row r="21" spans="1:10" ht="34.5" customHeight="1" thickBot="1">
      <c r="A21" s="142" t="s">
        <v>149</v>
      </c>
      <c r="B21" s="140">
        <v>330</v>
      </c>
      <c r="C21" s="639">
        <v>9930</v>
      </c>
      <c r="D21" s="639"/>
      <c r="E21" s="158">
        <v>1760</v>
      </c>
      <c r="F21" s="158">
        <f>C21*E21</f>
        <v>17476800</v>
      </c>
      <c r="G21" s="158">
        <f t="shared" ref="G21" si="4">15*B21*1000</f>
        <v>4950000</v>
      </c>
      <c r="H21" s="158">
        <f t="shared" ref="H21" si="5">+B21*11*1000</f>
        <v>3630000</v>
      </c>
      <c r="I21" s="158">
        <f t="shared" ref="I21" si="6">+B21*11*1000</f>
        <v>3630000</v>
      </c>
      <c r="J21" s="156">
        <f>SUM(F21:I21)</f>
        <v>29686800</v>
      </c>
    </row>
    <row r="22" spans="1:10" ht="21.75" customHeight="1" thickBot="1">
      <c r="B22" s="138"/>
      <c r="C22" s="137"/>
      <c r="H22" s="623" t="s">
        <v>177</v>
      </c>
      <c r="I22" s="624"/>
      <c r="J22" s="157">
        <f>SUM(J20:J21)</f>
        <v>555849800</v>
      </c>
    </row>
    <row r="23" spans="1:10" ht="21.75" customHeight="1" thickBot="1">
      <c r="C23" s="137"/>
      <c r="H23" s="623" t="s">
        <v>124</v>
      </c>
      <c r="I23" s="624"/>
      <c r="J23" s="157">
        <f>+J22/(SUM(B20:B21)*1000)</f>
        <v>277.92489999999998</v>
      </c>
    </row>
    <row r="24" spans="1:10" ht="15.75" thickBot="1"/>
    <row r="25" spans="1:10" ht="23.25" customHeight="1" thickBot="1">
      <c r="A25" s="629" t="s">
        <v>180</v>
      </c>
      <c r="B25" s="630"/>
      <c r="C25" s="630"/>
      <c r="D25" s="630"/>
      <c r="E25" s="630"/>
      <c r="F25" s="630"/>
      <c r="G25" s="630"/>
      <c r="H25" s="630"/>
      <c r="I25" s="630"/>
      <c r="J25" s="631"/>
    </row>
    <row r="26" spans="1:10" ht="21" customHeight="1">
      <c r="A26" s="632" t="s">
        <v>0</v>
      </c>
      <c r="B26" s="634" t="s">
        <v>158</v>
      </c>
      <c r="C26" s="636" t="s">
        <v>129</v>
      </c>
      <c r="D26" s="636"/>
      <c r="E26" s="636"/>
      <c r="F26" s="636"/>
      <c r="G26" s="636" t="s">
        <v>7</v>
      </c>
      <c r="H26" s="636"/>
      <c r="I26" s="636"/>
      <c r="J26" s="637" t="s">
        <v>163</v>
      </c>
    </row>
    <row r="27" spans="1:10" ht="21" customHeight="1">
      <c r="A27" s="633"/>
      <c r="B27" s="635"/>
      <c r="C27" s="635" t="s">
        <v>155</v>
      </c>
      <c r="D27" s="635"/>
      <c r="E27" s="160" t="s">
        <v>131</v>
      </c>
      <c r="F27" s="160" t="s">
        <v>133</v>
      </c>
      <c r="G27" s="160" t="s">
        <v>156</v>
      </c>
      <c r="H27" s="160" t="s">
        <v>157</v>
      </c>
      <c r="I27" s="160" t="s">
        <v>13</v>
      </c>
      <c r="J27" s="638"/>
    </row>
    <row r="28" spans="1:10" ht="34.5" customHeight="1">
      <c r="A28" s="141" t="s">
        <v>162</v>
      </c>
      <c r="B28" s="139">
        <v>2012</v>
      </c>
      <c r="C28" s="640">
        <v>243000</v>
      </c>
      <c r="D28" s="640"/>
      <c r="E28" s="159">
        <v>1911</v>
      </c>
      <c r="F28" s="159">
        <f>C28*E28</f>
        <v>464373000</v>
      </c>
      <c r="G28" s="159">
        <f>15*B28*1000</f>
        <v>30180000</v>
      </c>
      <c r="H28" s="159">
        <f>+B28*11*1000</f>
        <v>22132000</v>
      </c>
      <c r="I28" s="159">
        <f>+B28*11*1000</f>
        <v>22132000</v>
      </c>
      <c r="J28" s="155">
        <f>SUM(F28:I28)</f>
        <v>538817000</v>
      </c>
    </row>
    <row r="29" spans="1:10" ht="34.5" customHeight="1" thickBot="1">
      <c r="A29" s="142" t="s">
        <v>149</v>
      </c>
      <c r="B29" s="140">
        <v>216</v>
      </c>
      <c r="C29" s="639">
        <v>9930</v>
      </c>
      <c r="D29" s="639"/>
      <c r="E29" s="158">
        <v>1760</v>
      </c>
      <c r="F29" s="158">
        <f>C29*E29</f>
        <v>17476800</v>
      </c>
      <c r="G29" s="158">
        <f t="shared" ref="G29" si="7">15*B29*1000</f>
        <v>3240000</v>
      </c>
      <c r="H29" s="158">
        <f t="shared" ref="H29" si="8">+B29*11*1000</f>
        <v>2376000</v>
      </c>
      <c r="I29" s="158">
        <f t="shared" ref="I29" si="9">+B29*11*1000</f>
        <v>2376000</v>
      </c>
      <c r="J29" s="156">
        <f>SUM(F29:I29)</f>
        <v>25468800</v>
      </c>
    </row>
    <row r="30" spans="1:10" ht="21.75" customHeight="1" thickBot="1">
      <c r="B30" s="138"/>
      <c r="C30" s="137"/>
      <c r="H30" s="623" t="s">
        <v>177</v>
      </c>
      <c r="I30" s="624"/>
      <c r="J30" s="157">
        <f>SUM(J28:J29)</f>
        <v>564285800</v>
      </c>
    </row>
    <row r="31" spans="1:10" ht="21.75" customHeight="1" thickBot="1">
      <c r="C31" s="137"/>
      <c r="H31" s="623" t="s">
        <v>124</v>
      </c>
      <c r="I31" s="624"/>
      <c r="J31" s="157">
        <f>+J30/(SUM(B28:B29)*1000)</f>
        <v>253.27010771992818</v>
      </c>
    </row>
  </sheetData>
  <mergeCells count="47">
    <mergeCell ref="A2:O2"/>
    <mergeCell ref="A1:M1"/>
    <mergeCell ref="A7:B7"/>
    <mergeCell ref="O3:O4"/>
    <mergeCell ref="O5:O7"/>
    <mergeCell ref="A3:A4"/>
    <mergeCell ref="B3:D3"/>
    <mergeCell ref="E3:G3"/>
    <mergeCell ref="H3:J3"/>
    <mergeCell ref="K3:N3"/>
    <mergeCell ref="B11:B14"/>
    <mergeCell ref="K11:K14"/>
    <mergeCell ref="H11:H14"/>
    <mergeCell ref="E11:E14"/>
    <mergeCell ref="A8:O8"/>
    <mergeCell ref="L11:L13"/>
    <mergeCell ref="M11:M13"/>
    <mergeCell ref="O11:O13"/>
    <mergeCell ref="O9:O10"/>
    <mergeCell ref="A9:A10"/>
    <mergeCell ref="B9:D9"/>
    <mergeCell ref="E9:G9"/>
    <mergeCell ref="H9:J9"/>
    <mergeCell ref="K9:M9"/>
    <mergeCell ref="A17:J17"/>
    <mergeCell ref="A25:J25"/>
    <mergeCell ref="A16:J16"/>
    <mergeCell ref="A18:A19"/>
    <mergeCell ref="B18:B19"/>
    <mergeCell ref="C18:F18"/>
    <mergeCell ref="G18:I18"/>
    <mergeCell ref="J18:J19"/>
    <mergeCell ref="C19:D19"/>
    <mergeCell ref="J26:J27"/>
    <mergeCell ref="C27:D27"/>
    <mergeCell ref="C20:D20"/>
    <mergeCell ref="C21:D21"/>
    <mergeCell ref="H22:I22"/>
    <mergeCell ref="H23:I23"/>
    <mergeCell ref="C28:D28"/>
    <mergeCell ref="C29:D29"/>
    <mergeCell ref="H30:I30"/>
    <mergeCell ref="H31:I31"/>
    <mergeCell ref="A26:A27"/>
    <mergeCell ref="B26:B27"/>
    <mergeCell ref="C26:F26"/>
    <mergeCell ref="G26:I26"/>
  </mergeCells>
  <conditionalFormatting sqref="D5">
    <cfRule type="dataBar" priority="1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{39E29509-8A65-4D38-B370-968F2DA48883}</x14:id>
        </ext>
      </extLst>
    </cfRule>
  </conditionalFormatting>
  <conditionalFormatting sqref="J5:J6">
    <cfRule type="dataBar" priority="1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{6FCD3F7C-2712-4359-9798-04397858917B}</x14:id>
        </ext>
      </extLst>
    </cfRule>
  </conditionalFormatting>
  <conditionalFormatting sqref="D6:D7">
    <cfRule type="dataBar" priority="1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{B2F6504F-5119-48F5-BD45-6CB021FDD91A}</x14:id>
        </ext>
      </extLst>
    </cfRule>
  </conditionalFormatting>
  <conditionalFormatting sqref="G5:G6">
    <cfRule type="dataBar" priority="1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{25FCF037-79F3-4A14-9F48-4B00F49D5AE7}</x14:id>
        </ext>
      </extLst>
    </cfRule>
  </conditionalFormatting>
  <conditionalFormatting sqref="G7">
    <cfRule type="dataBar" priority="1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{1AC96CAD-CEAC-4912-99C9-CAE45F953A8D}</x14:id>
        </ext>
      </extLst>
    </cfRule>
  </conditionalFormatting>
  <conditionalFormatting sqref="J7">
    <cfRule type="dataBar" priority="14">
      <dataBar>
        <cfvo type="num" val="0"/>
        <cfvo type="num" val="1"/>
        <color rgb="FFFF0000"/>
      </dataBar>
      <extLst>
        <ext xmlns:x14="http://schemas.microsoft.com/office/spreadsheetml/2009/9/main" uri="{B025F937-C7B1-47D3-B67F-A62EFF666E3E}">
          <x14:id>{2759097C-4D28-4235-B943-6C51BDEEA3A7}</x14:id>
        </ext>
      </extLst>
    </cfRule>
  </conditionalFormatting>
  <conditionalFormatting sqref="L14">
    <cfRule type="dataBar" priority="4">
      <dataBar>
        <cfvo type="num" val="0"/>
        <cfvo type="num" val="1"/>
        <color rgb="FFFF0000"/>
      </dataBar>
      <extLst>
        <ext xmlns:x14="http://schemas.microsoft.com/office/spreadsheetml/2009/9/main" uri="{B025F937-C7B1-47D3-B67F-A62EFF666E3E}">
          <x14:id>{07E1A409-08AE-4B88-BE2B-201B75E051AD}</x14:id>
        </ext>
      </extLst>
    </cfRule>
  </conditionalFormatting>
  <conditionalFormatting sqref="C14">
    <cfRule type="dataBar" priority="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{C3159D19-776C-438C-BBF9-15F2102E8F09}</x14:id>
        </ext>
      </extLst>
    </cfRule>
  </conditionalFormatting>
  <conditionalFormatting sqref="I14">
    <cfRule type="dataBar" priority="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{AF0284CF-252D-4741-9096-09C7FC987933}</x14:id>
        </ext>
      </extLst>
    </cfRule>
  </conditionalFormatting>
  <conditionalFormatting sqref="J14">
    <cfRule type="dataBar" priority="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{48B31D26-8C45-4FDE-9042-78C720F5C56A}</x14:id>
        </ext>
      </extLst>
    </cfRule>
  </conditionalFormatting>
  <conditionalFormatting sqref="O14">
    <cfRule type="dataBar" priority="1">
      <dataBar>
        <cfvo type="num" val="0"/>
        <cfvo type="num" val="1"/>
        <color rgb="FFFF0000"/>
      </dataBar>
      <extLst>
        <ext xmlns:x14="http://schemas.microsoft.com/office/spreadsheetml/2009/9/main" uri="{B025F937-C7B1-47D3-B67F-A62EFF666E3E}">
          <x14:id>{FD5F864F-67A9-4E46-94CE-44EEC1A40D75}</x14:id>
        </ext>
      </extLst>
    </cfRule>
  </conditionalFormatting>
  <pageMargins left="0.7" right="0.7" top="0.75" bottom="0.75" header="0.3" footer="0.3"/>
  <pageSetup paperSize="8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9E29509-8A65-4D38-B370-968F2DA488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6FCD3F7C-2712-4359-9798-0439785891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J5:J6</xm:sqref>
        </x14:conditionalFormatting>
        <x14:conditionalFormatting xmlns:xm="http://schemas.microsoft.com/office/excel/2006/main">
          <x14:cfRule type="dataBar" id="{B2F6504F-5119-48F5-BD45-6CB021FDD9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D6:D7</xm:sqref>
        </x14:conditionalFormatting>
        <x14:conditionalFormatting xmlns:xm="http://schemas.microsoft.com/office/excel/2006/main">
          <x14:cfRule type="dataBar" id="{25FCF037-79F3-4A14-9F48-4B00F49D5A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G5:G6</xm:sqref>
        </x14:conditionalFormatting>
        <x14:conditionalFormatting xmlns:xm="http://schemas.microsoft.com/office/excel/2006/main">
          <x14:cfRule type="dataBar" id="{1AC96CAD-CEAC-4912-99C9-CAE45F953A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2759097C-4D28-4235-B943-6C51BDEEA3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07E1A409-08AE-4B88-BE2B-201B75E051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3159D19-776C-438C-BBF9-15F2102E8F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C14</xm:sqref>
        </x14:conditionalFormatting>
        <x14:conditionalFormatting xmlns:xm="http://schemas.microsoft.com/office/excel/2006/main">
          <x14:cfRule type="dataBar" id="{AF0284CF-252D-4741-9096-09C7FC9879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48B31D26-8C45-4FDE-9042-78C720F5C5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FD5F864F-67A9-4E46-94CE-44EEC1A40D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80"/>
  <sheetViews>
    <sheetView topLeftCell="G2" workbookViewId="0">
      <selection activeCell="P13" sqref="P13"/>
    </sheetView>
  </sheetViews>
  <sheetFormatPr defaultRowHeight="15"/>
  <cols>
    <col min="1" max="1" width="14.85546875" style="182" customWidth="1"/>
    <col min="2" max="2" width="6.140625" style="182" customWidth="1"/>
    <col min="3" max="3" width="21.140625" style="183" customWidth="1"/>
    <col min="4" max="4" width="12.140625" style="182" customWidth="1"/>
    <col min="5" max="6" width="12.85546875" style="182" bestFit="1" customWidth="1"/>
    <col min="7" max="7" width="12.85546875" style="182" customWidth="1"/>
    <col min="8" max="9" width="9.28515625" style="182" customWidth="1"/>
    <col min="10" max="10" width="13.140625" style="182" customWidth="1"/>
    <col min="11" max="11" width="9.28515625" style="182" customWidth="1"/>
    <col min="12" max="12" width="17.28515625" style="182" customWidth="1"/>
    <col min="13" max="13" width="10.42578125" style="182" bestFit="1" customWidth="1"/>
    <col min="14" max="14" width="10.140625" style="182" customWidth="1"/>
    <col min="15" max="15" width="10" style="182" customWidth="1"/>
    <col min="16" max="16" width="11.28515625" style="182" customWidth="1"/>
    <col min="17" max="17" width="10.5703125" style="182" customWidth="1"/>
    <col min="18" max="18" width="13" style="182" customWidth="1"/>
    <col min="19" max="19" width="13.42578125" style="182" customWidth="1"/>
    <col min="20" max="21" width="9.140625" style="182"/>
    <col min="22" max="22" width="13.140625" style="182" customWidth="1"/>
    <col min="23" max="23" width="11.140625" style="182" customWidth="1"/>
    <col min="24" max="24" width="3.28515625" style="182" customWidth="1"/>
    <col min="25" max="26" width="9.140625" style="182"/>
    <col min="27" max="28" width="11.85546875" style="182" customWidth="1"/>
    <col min="29" max="29" width="9.140625" style="182"/>
    <col min="30" max="30" width="14" style="182" bestFit="1" customWidth="1"/>
    <col min="31" max="16384" width="9.140625" style="182"/>
  </cols>
  <sheetData>
    <row r="1" spans="1:30" ht="35.25" customHeight="1" thickBot="1">
      <c r="A1" s="782" t="s">
        <v>200</v>
      </c>
      <c r="B1" s="783"/>
      <c r="C1" s="783"/>
      <c r="D1" s="783"/>
      <c r="E1" s="783"/>
      <c r="F1" s="783"/>
      <c r="G1" s="783"/>
      <c r="H1" s="783"/>
      <c r="I1" s="783"/>
      <c r="J1" s="783"/>
      <c r="K1" s="783"/>
      <c r="L1" s="783"/>
      <c r="M1" s="783"/>
      <c r="N1" s="783"/>
      <c r="O1" s="783"/>
      <c r="P1" s="783"/>
    </row>
    <row r="2" spans="1:30" s="184" customFormat="1" ht="32.25" customHeight="1">
      <c r="A2" s="791" t="s">
        <v>183</v>
      </c>
      <c r="B2" s="594" t="s">
        <v>34</v>
      </c>
      <c r="C2" s="594" t="s">
        <v>1</v>
      </c>
      <c r="D2" s="594" t="s">
        <v>186</v>
      </c>
      <c r="E2" s="594"/>
      <c r="F2" s="594"/>
      <c r="G2" s="416"/>
      <c r="H2" s="594" t="s">
        <v>199</v>
      </c>
      <c r="I2" s="594"/>
      <c r="J2" s="594"/>
      <c r="K2" s="594"/>
      <c r="L2" s="795" t="s">
        <v>204</v>
      </c>
      <c r="M2" s="598" t="s">
        <v>371</v>
      </c>
      <c r="N2" s="598" t="s">
        <v>382</v>
      </c>
      <c r="O2" s="598" t="s">
        <v>383</v>
      </c>
      <c r="P2" s="797" t="s">
        <v>384</v>
      </c>
      <c r="Q2" s="372" t="s">
        <v>373</v>
      </c>
      <c r="R2" s="798"/>
      <c r="S2" s="793"/>
      <c r="T2" s="784" t="s">
        <v>195</v>
      </c>
      <c r="U2" s="785"/>
      <c r="V2" s="785"/>
      <c r="W2" s="786"/>
      <c r="X2" s="190"/>
      <c r="Y2" s="784" t="s">
        <v>197</v>
      </c>
      <c r="Z2" s="785"/>
      <c r="AA2" s="785"/>
      <c r="AB2" s="786"/>
      <c r="AC2" s="190"/>
      <c r="AD2" s="191"/>
    </row>
    <row r="3" spans="1:30" s="184" customFormat="1" ht="44.25" customHeight="1" thickBot="1">
      <c r="A3" s="792"/>
      <c r="B3" s="602"/>
      <c r="C3" s="602"/>
      <c r="D3" s="187" t="s">
        <v>201</v>
      </c>
      <c r="E3" s="187" t="s">
        <v>202</v>
      </c>
      <c r="F3" s="187" t="s">
        <v>203</v>
      </c>
      <c r="G3" s="417" t="s">
        <v>386</v>
      </c>
      <c r="H3" s="188" t="s">
        <v>190</v>
      </c>
      <c r="I3" s="188" t="s">
        <v>187</v>
      </c>
      <c r="J3" s="188" t="s">
        <v>188</v>
      </c>
      <c r="K3" s="188" t="s">
        <v>189</v>
      </c>
      <c r="L3" s="796"/>
      <c r="M3" s="599"/>
      <c r="N3" s="599"/>
      <c r="O3" s="599"/>
      <c r="P3" s="621"/>
      <c r="Q3" s="437" t="s">
        <v>374</v>
      </c>
      <c r="R3" s="798"/>
      <c r="S3" s="794"/>
      <c r="T3" s="192" t="s">
        <v>191</v>
      </c>
      <c r="U3" s="192" t="s">
        <v>192</v>
      </c>
      <c r="V3" s="192" t="s">
        <v>193</v>
      </c>
      <c r="W3" s="192" t="s">
        <v>194</v>
      </c>
      <c r="X3" s="193"/>
      <c r="Y3" s="192" t="s">
        <v>191</v>
      </c>
      <c r="Z3" s="192" t="s">
        <v>192</v>
      </c>
      <c r="AA3" s="192" t="s">
        <v>193</v>
      </c>
      <c r="AB3" s="192" t="s">
        <v>194</v>
      </c>
      <c r="AC3" s="192" t="s">
        <v>198</v>
      </c>
      <c r="AD3" s="194">
        <v>0</v>
      </c>
    </row>
    <row r="4" spans="1:30" ht="21" customHeight="1">
      <c r="A4" s="787" t="s">
        <v>164</v>
      </c>
      <c r="B4" s="202">
        <v>1</v>
      </c>
      <c r="C4" s="203" t="s">
        <v>335</v>
      </c>
      <c r="D4" s="204">
        <v>8650</v>
      </c>
      <c r="E4" s="204">
        <v>1950</v>
      </c>
      <c r="F4" s="445">
        <f>+D4*E4</f>
        <v>16867500</v>
      </c>
      <c r="G4" s="204">
        <f>+F4/M4</f>
        <v>259.5</v>
      </c>
      <c r="H4" s="446">
        <f>+M4*SUM('ĐỊNH MỨC VT LÒ'!I6:$I$15)</f>
        <v>27.372222222222224</v>
      </c>
      <c r="I4" s="204">
        <f>(39500*2*2.15+42000*11)/M4</f>
        <v>9.7207692307692302</v>
      </c>
      <c r="J4" s="204">
        <f>+(AD3*SUM(Y4:Z4))/65000</f>
        <v>0</v>
      </c>
      <c r="K4" s="202">
        <v>15</v>
      </c>
      <c r="L4" s="204">
        <f>+F4+(SUM(H4:K4)*M4)</f>
        <v>20253544.444444444</v>
      </c>
      <c r="M4" s="189">
        <v>65000</v>
      </c>
      <c r="N4" s="353">
        <f>+O4/M4</f>
        <v>3.9807692307692309E-4</v>
      </c>
      <c r="O4" s="522">
        <f>+SUM(Y4:Z4)</f>
        <v>25.875</v>
      </c>
      <c r="P4" s="355" t="s">
        <v>164</v>
      </c>
      <c r="Q4" s="356">
        <v>0.25</v>
      </c>
      <c r="R4" s="360"/>
      <c r="S4" s="794"/>
      <c r="T4" s="195" t="s">
        <v>132</v>
      </c>
      <c r="U4" s="195" t="s">
        <v>132</v>
      </c>
      <c r="V4" s="195"/>
      <c r="W4" s="195"/>
      <c r="X4" s="196"/>
      <c r="Y4" s="197">
        <f>+T13*1.5</f>
        <v>18</v>
      </c>
      <c r="Z4" s="197">
        <f>+U13*0.75</f>
        <v>7.875</v>
      </c>
      <c r="AA4" s="197">
        <v>0</v>
      </c>
      <c r="AB4" s="197">
        <v>0</v>
      </c>
      <c r="AC4" s="196"/>
      <c r="AD4" s="198"/>
    </row>
    <row r="5" spans="1:30" ht="21" customHeight="1">
      <c r="A5" s="788"/>
      <c r="B5" s="307">
        <v>2</v>
      </c>
      <c r="C5" s="438" t="s">
        <v>337</v>
      </c>
      <c r="D5" s="439">
        <v>8650</v>
      </c>
      <c r="E5" s="439">
        <v>1950</v>
      </c>
      <c r="F5" s="440">
        <f>+D5*E5</f>
        <v>16867500</v>
      </c>
      <c r="G5" s="189">
        <f t="shared" ref="G5:G12" si="0">+F5/M5</f>
        <v>259.5</v>
      </c>
      <c r="H5" s="447">
        <f>+M5*SUM('ĐỊNH MỨC VT LÒ'!I7:$I$15)</f>
        <v>27.146527777777781</v>
      </c>
      <c r="I5" s="439">
        <f>(39500*2*2.15+42000*11)/M5</f>
        <v>9.7207692307692302</v>
      </c>
      <c r="J5" s="439">
        <f>+(AD3*SUM(Y5:Z5))/65000</f>
        <v>0</v>
      </c>
      <c r="K5" s="307">
        <v>15</v>
      </c>
      <c r="L5" s="440">
        <f>+F5+(SUM(H5:K5)*M5)</f>
        <v>20238874.305555556</v>
      </c>
      <c r="M5" s="189">
        <v>65000</v>
      </c>
      <c r="N5" s="353">
        <f>+O5/M5</f>
        <v>3.9807692307692309E-4</v>
      </c>
      <c r="O5" s="522">
        <f>+SUM(Y5:Z5)</f>
        <v>25.875</v>
      </c>
      <c r="P5" s="355" t="s">
        <v>164</v>
      </c>
      <c r="Q5" s="356">
        <v>0.5</v>
      </c>
      <c r="R5" s="360"/>
      <c r="S5" s="794"/>
      <c r="T5" s="195" t="s">
        <v>132</v>
      </c>
      <c r="U5" s="195" t="s">
        <v>132</v>
      </c>
      <c r="V5" s="195"/>
      <c r="W5" s="195"/>
      <c r="X5" s="196"/>
      <c r="Y5" s="197">
        <f>+T13*1.5</f>
        <v>18</v>
      </c>
      <c r="Z5" s="197">
        <f>+Z4</f>
        <v>7.875</v>
      </c>
      <c r="AA5" s="197"/>
      <c r="AB5" s="197"/>
      <c r="AC5" s="196"/>
      <c r="AD5" s="198"/>
    </row>
    <row r="6" spans="1:30" ht="21" customHeight="1">
      <c r="A6" s="789"/>
      <c r="B6" s="186">
        <v>3</v>
      </c>
      <c r="C6" s="185" t="s">
        <v>362</v>
      </c>
      <c r="D6" s="189">
        <v>7420</v>
      </c>
      <c r="E6" s="189">
        <v>2170</v>
      </c>
      <c r="F6" s="350">
        <f>+D6*E6</f>
        <v>16101400</v>
      </c>
      <c r="G6" s="189">
        <f t="shared" si="0"/>
        <v>292.75272727272727</v>
      </c>
      <c r="H6" s="448">
        <f>+M6*SUM('ĐỊNH MỨC VT LÒ'!I7:$I$15)</f>
        <v>22.970138888888894</v>
      </c>
      <c r="I6" s="189">
        <f>+(39500*2*3+42000*10)/M6</f>
        <v>11.945454545454545</v>
      </c>
      <c r="J6" s="189">
        <f>+(AD3*SUM(Y6:Z6))/55000</f>
        <v>0</v>
      </c>
      <c r="K6" s="186">
        <v>15</v>
      </c>
      <c r="L6" s="350">
        <f t="shared" ref="L6:L12" si="1">+F6+(SUM(H6:K6)*M6)</f>
        <v>18846757.638888888</v>
      </c>
      <c r="M6" s="189">
        <v>55000</v>
      </c>
      <c r="N6" s="353">
        <f t="shared" ref="N6:N12" si="2">+O6/M6</f>
        <v>6.2727272727272729E-4</v>
      </c>
      <c r="O6" s="522">
        <f>SUM(Y6:Z6)</f>
        <v>34.5</v>
      </c>
      <c r="P6" s="355" t="s">
        <v>164</v>
      </c>
      <c r="Q6" s="356">
        <v>0.75</v>
      </c>
      <c r="R6" s="360"/>
      <c r="S6" s="794"/>
      <c r="T6" s="195" t="s">
        <v>132</v>
      </c>
      <c r="U6" s="195" t="s">
        <v>132</v>
      </c>
      <c r="V6" s="195"/>
      <c r="W6" s="195"/>
      <c r="X6" s="196"/>
      <c r="Y6" s="197">
        <f>+T13*2</f>
        <v>24</v>
      </c>
      <c r="Z6" s="197">
        <f>+U13*1</f>
        <v>10.5</v>
      </c>
      <c r="AA6" s="197">
        <v>0</v>
      </c>
      <c r="AB6" s="197">
        <v>0</v>
      </c>
      <c r="AC6" s="196"/>
      <c r="AD6" s="198"/>
    </row>
    <row r="7" spans="1:30" ht="21" customHeight="1">
      <c r="A7" s="789"/>
      <c r="B7" s="186">
        <v>4</v>
      </c>
      <c r="C7" s="185" t="s">
        <v>363</v>
      </c>
      <c r="D7" s="189">
        <v>6240</v>
      </c>
      <c r="E7" s="189">
        <v>1630</v>
      </c>
      <c r="F7" s="350">
        <f t="shared" ref="F7:F11" si="3">+D7*E7</f>
        <v>10171200</v>
      </c>
      <c r="G7" s="189">
        <f t="shared" si="0"/>
        <v>290.60571428571427</v>
      </c>
      <c r="H7" s="448">
        <f>+M7*SUM('ĐỊNH MỨC VT LÒ'!I8:$I$15)</f>
        <v>13.888194444444444</v>
      </c>
      <c r="I7" s="189">
        <f>+(40000+42000*10)/M7</f>
        <v>13.142857142857142</v>
      </c>
      <c r="J7" s="189">
        <f>+(AD3*AB7)/35000</f>
        <v>0</v>
      </c>
      <c r="K7" s="186">
        <v>15</v>
      </c>
      <c r="L7" s="350">
        <f t="shared" si="1"/>
        <v>11642286.805555556</v>
      </c>
      <c r="M7" s="189">
        <v>35000</v>
      </c>
      <c r="N7" s="354">
        <f t="shared" si="2"/>
        <v>8.5714285714285713E-5</v>
      </c>
      <c r="O7" s="522">
        <f>+AB7</f>
        <v>3</v>
      </c>
      <c r="P7" s="355" t="s">
        <v>164</v>
      </c>
      <c r="Q7" s="356">
        <v>1</v>
      </c>
      <c r="R7" s="360"/>
      <c r="S7" s="794"/>
      <c r="T7" s="195"/>
      <c r="U7" s="195"/>
      <c r="V7" s="195"/>
      <c r="W7" s="195" t="s">
        <v>132</v>
      </c>
      <c r="X7" s="196"/>
      <c r="Y7" s="197">
        <v>0</v>
      </c>
      <c r="Z7" s="197">
        <v>0</v>
      </c>
      <c r="AA7" s="197">
        <v>0</v>
      </c>
      <c r="AB7" s="197">
        <f>+W13*1</f>
        <v>3</v>
      </c>
      <c r="AC7" s="196"/>
      <c r="AD7" s="198"/>
    </row>
    <row r="8" spans="1:30" ht="21" customHeight="1">
      <c r="A8" s="789" t="s">
        <v>166</v>
      </c>
      <c r="B8" s="186">
        <v>1</v>
      </c>
      <c r="C8" s="185" t="s">
        <v>364</v>
      </c>
      <c r="D8" s="189">
        <v>1350</v>
      </c>
      <c r="E8" s="189">
        <v>1830</v>
      </c>
      <c r="F8" s="350">
        <f t="shared" si="3"/>
        <v>2470500</v>
      </c>
      <c r="G8" s="189">
        <f t="shared" si="0"/>
        <v>123.52500000000001</v>
      </c>
      <c r="H8" s="448">
        <f>+M8*SUM('ĐỊNH MỨC VT LÒ'!I9:$I$15)</f>
        <v>7.8944444444444448</v>
      </c>
      <c r="I8" s="189">
        <f>+(40000*1.5+42000*11)/M8</f>
        <v>26.1</v>
      </c>
      <c r="J8" s="189">
        <f>+(AD3*AB8)/23000</f>
        <v>0</v>
      </c>
      <c r="K8" s="186">
        <v>15</v>
      </c>
      <c r="L8" s="350">
        <f t="shared" si="1"/>
        <v>3450388.888888889</v>
      </c>
      <c r="M8" s="189">
        <v>20000</v>
      </c>
      <c r="N8" s="353">
        <f t="shared" si="2"/>
        <v>2.2499999999999999E-4</v>
      </c>
      <c r="O8" s="522">
        <f>+AB8</f>
        <v>4.5</v>
      </c>
      <c r="P8" s="355" t="s">
        <v>166</v>
      </c>
      <c r="Q8" s="356">
        <v>1.25</v>
      </c>
      <c r="R8" s="360"/>
      <c r="S8" s="794"/>
      <c r="T8" s="195"/>
      <c r="U8" s="195"/>
      <c r="V8" s="195"/>
      <c r="W8" s="195" t="s">
        <v>132</v>
      </c>
      <c r="X8" s="196"/>
      <c r="Y8" s="197">
        <v>0</v>
      </c>
      <c r="Z8" s="197">
        <v>0</v>
      </c>
      <c r="AA8" s="197">
        <v>0</v>
      </c>
      <c r="AB8" s="197">
        <f>+W13*1.5</f>
        <v>4.5</v>
      </c>
      <c r="AC8" s="196"/>
      <c r="AD8" s="198"/>
    </row>
    <row r="9" spans="1:30" ht="21" customHeight="1">
      <c r="A9" s="789"/>
      <c r="B9" s="186">
        <v>2</v>
      </c>
      <c r="C9" s="185" t="s">
        <v>365</v>
      </c>
      <c r="D9" s="189">
        <v>1050</v>
      </c>
      <c r="E9" s="189">
        <v>1750</v>
      </c>
      <c r="F9" s="350">
        <f t="shared" si="3"/>
        <v>1837500</v>
      </c>
      <c r="G9" s="189">
        <f t="shared" si="0"/>
        <v>122.5</v>
      </c>
      <c r="H9" s="448">
        <f>+M9*SUM('ĐỊNH MỨC VT LÒ'!I10:$I$15)</f>
        <v>5.770833333333333</v>
      </c>
      <c r="I9" s="189">
        <f>+(40000*1.15+42000*10)/M9</f>
        <v>31.066666666666666</v>
      </c>
      <c r="J9" s="189">
        <f>+(AA9*AD3)/18000</f>
        <v>0</v>
      </c>
      <c r="K9" s="186">
        <v>15</v>
      </c>
      <c r="L9" s="350">
        <f t="shared" si="1"/>
        <v>2615062.5</v>
      </c>
      <c r="M9" s="189">
        <v>15000</v>
      </c>
      <c r="N9" s="353">
        <f t="shared" si="2"/>
        <v>3.8333333333333334E-4</v>
      </c>
      <c r="O9" s="522">
        <f>+AA9</f>
        <v>5.75</v>
      </c>
      <c r="P9" s="355" t="s">
        <v>166</v>
      </c>
      <c r="Q9" s="356">
        <v>1.5</v>
      </c>
      <c r="R9" s="360"/>
      <c r="S9" s="794"/>
      <c r="T9" s="195"/>
      <c r="U9" s="195"/>
      <c r="V9" s="195" t="s">
        <v>132</v>
      </c>
      <c r="W9" s="195"/>
      <c r="X9" s="196"/>
      <c r="Y9" s="197">
        <v>0</v>
      </c>
      <c r="Z9" s="197">
        <v>0</v>
      </c>
      <c r="AA9" s="197">
        <f>+V13*1.15</f>
        <v>5.75</v>
      </c>
      <c r="AB9" s="197">
        <v>0</v>
      </c>
      <c r="AC9" s="196"/>
      <c r="AD9" s="198"/>
    </row>
    <row r="10" spans="1:30" ht="21" customHeight="1">
      <c r="A10" s="530"/>
      <c r="B10" s="186"/>
      <c r="C10" s="185" t="s">
        <v>415</v>
      </c>
      <c r="D10" s="189">
        <v>1050</v>
      </c>
      <c r="E10" s="189">
        <v>1750</v>
      </c>
      <c r="F10" s="350">
        <f t="shared" si="3"/>
        <v>1837500</v>
      </c>
      <c r="G10" s="189">
        <f>+F10/M10</f>
        <v>102.08333333333333</v>
      </c>
      <c r="H10" s="448">
        <f>+M10*SUM('ĐỊNH MỨC VT LÒ'!I11:$I$15)</f>
        <v>6.6562500000000009</v>
      </c>
      <c r="I10" s="189">
        <f>+(40000*1.15+42000*10)/M10</f>
        <v>25.888888888888889</v>
      </c>
      <c r="J10" s="189">
        <f>+(AA9*AD3)/18000</f>
        <v>0</v>
      </c>
      <c r="K10" s="186">
        <v>15</v>
      </c>
      <c r="L10" s="350">
        <f t="shared" si="1"/>
        <v>2693312.5</v>
      </c>
      <c r="M10" s="189">
        <v>18000</v>
      </c>
      <c r="N10" s="353">
        <f t="shared" si="2"/>
        <v>3.1944444444444446E-4</v>
      </c>
      <c r="O10" s="522">
        <f>+AA9</f>
        <v>5.75</v>
      </c>
      <c r="P10" s="355" t="s">
        <v>166</v>
      </c>
      <c r="Q10" s="356">
        <v>1.75</v>
      </c>
      <c r="R10" s="360"/>
      <c r="S10" s="794"/>
      <c r="T10" s="195"/>
      <c r="U10" s="195"/>
      <c r="V10" s="195"/>
      <c r="W10" s="195"/>
      <c r="X10" s="196"/>
      <c r="Y10" s="197"/>
      <c r="Z10" s="197"/>
      <c r="AA10" s="197"/>
      <c r="AB10" s="197"/>
      <c r="AC10" s="196"/>
      <c r="AD10" s="198"/>
    </row>
    <row r="11" spans="1:30" ht="21" customHeight="1">
      <c r="A11" s="789" t="s">
        <v>184</v>
      </c>
      <c r="B11" s="186">
        <v>1</v>
      </c>
      <c r="C11" s="185" t="s">
        <v>366</v>
      </c>
      <c r="D11" s="189">
        <v>8650</v>
      </c>
      <c r="E11" s="189">
        <v>1860</v>
      </c>
      <c r="F11" s="350">
        <f t="shared" si="3"/>
        <v>16089000</v>
      </c>
      <c r="G11" s="189">
        <f t="shared" si="0"/>
        <v>699.52173913043475</v>
      </c>
      <c r="H11" s="448">
        <f>+M11*SUM('ĐỊNH MỨC VT LÒ'!I11:$I$15)</f>
        <v>8.5052083333333339</v>
      </c>
      <c r="I11" s="189">
        <f>+(40000*1.15+42000*12)/M11</f>
        <v>23.913043478260871</v>
      </c>
      <c r="J11" s="189">
        <f>+(AA11*AD3)/23000</f>
        <v>0</v>
      </c>
      <c r="K11" s="186">
        <v>15</v>
      </c>
      <c r="L11" s="350">
        <f t="shared" si="1"/>
        <v>17179619.791666668</v>
      </c>
      <c r="M11" s="189">
        <v>23000</v>
      </c>
      <c r="N11" s="353">
        <f t="shared" si="2"/>
        <v>3.1521739130434783E-4</v>
      </c>
      <c r="O11" s="522">
        <f t="shared" ref="O11:O12" si="4">+AA11</f>
        <v>7.25</v>
      </c>
      <c r="P11" s="355" t="s">
        <v>184</v>
      </c>
      <c r="Q11" s="356">
        <v>2</v>
      </c>
      <c r="R11" s="360"/>
      <c r="S11" s="794"/>
      <c r="T11" s="195"/>
      <c r="U11" s="195"/>
      <c r="V11" s="195" t="s">
        <v>132</v>
      </c>
      <c r="W11" s="195"/>
      <c r="X11" s="196"/>
      <c r="Y11" s="197">
        <v>0</v>
      </c>
      <c r="Z11" s="197">
        <v>0</v>
      </c>
      <c r="AA11" s="197">
        <f>+V13*1.45</f>
        <v>7.25</v>
      </c>
      <c r="AB11" s="197">
        <v>0</v>
      </c>
      <c r="AC11" s="196"/>
      <c r="AD11" s="198"/>
    </row>
    <row r="12" spans="1:30" ht="21" customHeight="1">
      <c r="A12" s="790"/>
      <c r="B12" s="293">
        <v>2</v>
      </c>
      <c r="C12" s="294" t="s">
        <v>338</v>
      </c>
      <c r="D12" s="295">
        <v>8540</v>
      </c>
      <c r="E12" s="295">
        <v>1943</v>
      </c>
      <c r="F12" s="351">
        <f>+D12*E12</f>
        <v>16593220</v>
      </c>
      <c r="G12" s="189">
        <f t="shared" si="0"/>
        <v>553.10733333333337</v>
      </c>
      <c r="H12" s="449">
        <f>+M12*SUM('ĐỊNH MỨC VT LÒ'!I12:$I$15)</f>
        <v>10.78125</v>
      </c>
      <c r="I12" s="295">
        <f>+(40000*2+42000*10)/M12</f>
        <v>16.666666666666668</v>
      </c>
      <c r="J12" s="295">
        <f>+(AA12*AD3)/M12</f>
        <v>0</v>
      </c>
      <c r="K12" s="293">
        <v>15</v>
      </c>
      <c r="L12" s="351">
        <f t="shared" si="1"/>
        <v>17866657.5</v>
      </c>
      <c r="M12" s="189">
        <v>30000</v>
      </c>
      <c r="N12" s="353">
        <f t="shared" si="2"/>
        <v>3.3333333333333332E-4</v>
      </c>
      <c r="O12" s="522">
        <f t="shared" si="4"/>
        <v>10</v>
      </c>
      <c r="P12" s="355" t="s">
        <v>184</v>
      </c>
      <c r="Q12" s="422">
        <v>2.25</v>
      </c>
      <c r="R12" s="360"/>
      <c r="S12" s="794"/>
      <c r="T12" s="195"/>
      <c r="U12" s="195"/>
      <c r="V12" s="195" t="s">
        <v>132</v>
      </c>
      <c r="W12" s="195"/>
      <c r="X12" s="196"/>
      <c r="Y12" s="197">
        <v>0</v>
      </c>
      <c r="Z12" s="197">
        <v>0</v>
      </c>
      <c r="AA12" s="197">
        <f>2*V13</f>
        <v>10</v>
      </c>
      <c r="AB12" s="197">
        <v>0</v>
      </c>
      <c r="AC12" s="196"/>
      <c r="AD12" s="198"/>
    </row>
    <row r="13" spans="1:30" ht="36.75" customHeight="1" thickBot="1">
      <c r="A13" s="780" t="s">
        <v>385</v>
      </c>
      <c r="B13" s="418">
        <v>1</v>
      </c>
      <c r="C13" s="419" t="s">
        <v>367</v>
      </c>
      <c r="D13" s="418"/>
      <c r="E13" s="418"/>
      <c r="F13" s="418"/>
      <c r="G13" s="528"/>
      <c r="H13" s="420">
        <f>+AVERAGE(H4:H6)</f>
        <v>25.829629629629633</v>
      </c>
      <c r="I13" s="420">
        <f>+AVERAGE(I4:I6)</f>
        <v>10.462331002331002</v>
      </c>
      <c r="J13" s="521">
        <f>+(O13*$AD$3)/M13</f>
        <v>0</v>
      </c>
      <c r="K13" s="420">
        <f t="shared" ref="K13" si="5">+AVERAGE(K4:K6)</f>
        <v>15</v>
      </c>
      <c r="L13" s="418"/>
      <c r="M13" s="521">
        <f>+AVERAGE(M4:M6)</f>
        <v>61666.666666666664</v>
      </c>
      <c r="N13" s="523">
        <f>+O13/M13</f>
        <v>4.8952702702702701E-4</v>
      </c>
      <c r="O13" s="521">
        <f>+AVERAGE(O4,O6)</f>
        <v>30.1875</v>
      </c>
      <c r="P13" s="421" t="s">
        <v>164</v>
      </c>
      <c r="Q13" s="431">
        <v>2.5</v>
      </c>
      <c r="R13" s="360"/>
      <c r="S13" s="352" t="s">
        <v>196</v>
      </c>
      <c r="T13" s="199">
        <v>12</v>
      </c>
      <c r="U13" s="199">
        <v>10.5</v>
      </c>
      <c r="V13" s="199">
        <v>5</v>
      </c>
      <c r="W13" s="199">
        <v>3</v>
      </c>
      <c r="X13" s="200"/>
      <c r="Y13" s="200"/>
      <c r="Z13" s="200"/>
      <c r="AA13" s="200"/>
      <c r="AB13" s="200"/>
      <c r="AC13" s="200"/>
      <c r="AD13" s="201"/>
    </row>
    <row r="14" spans="1:30">
      <c r="A14" s="781"/>
      <c r="B14" s="423">
        <v>2</v>
      </c>
      <c r="C14" s="424" t="s">
        <v>336</v>
      </c>
      <c r="D14" s="423"/>
      <c r="E14" s="425"/>
      <c r="F14" s="426"/>
      <c r="G14" s="425"/>
      <c r="H14" s="427">
        <f>+AVERAGE(H4,H7)</f>
        <v>20.630208333333336</v>
      </c>
      <c r="I14" s="427">
        <f t="shared" ref="I14:K14" si="6">+AVERAGE(I4,I7)</f>
        <v>11.431813186813187</v>
      </c>
      <c r="J14" s="425">
        <f t="shared" ref="J14:J16" si="7">+(O14*$AD$3)/M14</f>
        <v>0</v>
      </c>
      <c r="K14" s="427">
        <f t="shared" si="6"/>
        <v>15</v>
      </c>
      <c r="L14" s="423"/>
      <c r="M14" s="425">
        <f>+AVERAGE(M4,M7)</f>
        <v>50000</v>
      </c>
      <c r="N14" s="429">
        <f t="shared" ref="N14:N16" si="8">+O14/M14</f>
        <v>2.8875E-4</v>
      </c>
      <c r="O14" s="425">
        <f>+AVERAGE(O4,O7)</f>
        <v>14.4375</v>
      </c>
      <c r="P14" s="430" t="s">
        <v>164</v>
      </c>
      <c r="Q14" s="431">
        <v>2.75</v>
      </c>
      <c r="R14" s="360"/>
    </row>
    <row r="15" spans="1:30">
      <c r="A15" s="781"/>
      <c r="B15" s="423">
        <v>3</v>
      </c>
      <c r="C15" s="424" t="s">
        <v>368</v>
      </c>
      <c r="D15" s="423"/>
      <c r="E15" s="425"/>
      <c r="F15" s="427"/>
      <c r="G15" s="425"/>
      <c r="H15" s="427">
        <f>+AVERAGE(H6:H7)</f>
        <v>18.429166666666667</v>
      </c>
      <c r="I15" s="427">
        <f t="shared" ref="I15:K15" si="9">+AVERAGE(I6:I7)</f>
        <v>12.544155844155844</v>
      </c>
      <c r="J15" s="425">
        <f t="shared" si="7"/>
        <v>0</v>
      </c>
      <c r="K15" s="427">
        <f t="shared" si="9"/>
        <v>15</v>
      </c>
      <c r="L15" s="423"/>
      <c r="M15" s="425">
        <f>+AVERAGE(M6:M7)</f>
        <v>45000</v>
      </c>
      <c r="N15" s="432">
        <f t="shared" si="8"/>
        <v>4.1666666666666669E-4</v>
      </c>
      <c r="O15" s="425">
        <f>+AVERAGE(O6:O7)</f>
        <v>18.75</v>
      </c>
      <c r="P15" s="430" t="s">
        <v>164</v>
      </c>
      <c r="Q15" s="431">
        <v>3</v>
      </c>
      <c r="R15" s="360"/>
      <c r="V15" s="283"/>
    </row>
    <row r="16" spans="1:30">
      <c r="A16" s="781"/>
      <c r="B16" s="423">
        <v>4</v>
      </c>
      <c r="C16" s="424" t="s">
        <v>369</v>
      </c>
      <c r="D16" s="423"/>
      <c r="E16" s="425"/>
      <c r="F16" s="423"/>
      <c r="G16" s="425"/>
      <c r="H16" s="427">
        <f>+AVERAGE(H7,H11)</f>
        <v>11.19670138888889</v>
      </c>
      <c r="I16" s="427">
        <f t="shared" ref="I16:K16" si="10">+AVERAGE(I7,I11)</f>
        <v>18.527950310559007</v>
      </c>
      <c r="J16" s="425">
        <f t="shared" si="7"/>
        <v>0</v>
      </c>
      <c r="K16" s="427">
        <f t="shared" si="10"/>
        <v>15</v>
      </c>
      <c r="L16" s="423"/>
      <c r="M16" s="425">
        <f>+AVERAGE(M7,M11)</f>
        <v>29000</v>
      </c>
      <c r="N16" s="432">
        <f t="shared" si="8"/>
        <v>1.7672413793103447E-4</v>
      </c>
      <c r="O16" s="425">
        <f>+AVERAGE(O7,O11)</f>
        <v>5.125</v>
      </c>
      <c r="P16" s="430" t="s">
        <v>164</v>
      </c>
      <c r="Q16" s="431">
        <v>3.25</v>
      </c>
      <c r="R16" s="360"/>
      <c r="V16" s="302"/>
    </row>
    <row r="17" spans="1:18">
      <c r="A17" s="781"/>
      <c r="B17" s="423">
        <v>5</v>
      </c>
      <c r="C17" s="424" t="s">
        <v>181</v>
      </c>
      <c r="D17" s="423"/>
      <c r="E17" s="425"/>
      <c r="F17" s="423"/>
      <c r="G17" s="425"/>
      <c r="H17" s="428">
        <v>0</v>
      </c>
      <c r="I17" s="428">
        <v>0</v>
      </c>
      <c r="J17" s="425">
        <v>0</v>
      </c>
      <c r="K17" s="428">
        <v>0</v>
      </c>
      <c r="L17" s="428"/>
      <c r="M17" s="425">
        <v>0</v>
      </c>
      <c r="N17" s="428">
        <v>0</v>
      </c>
      <c r="O17" s="425">
        <v>0</v>
      </c>
      <c r="P17" s="430" t="s">
        <v>372</v>
      </c>
      <c r="Q17" s="433">
        <v>3.5</v>
      </c>
      <c r="R17" s="360"/>
    </row>
    <row r="18" spans="1:18">
      <c r="A18" s="781"/>
      <c r="B18" s="423">
        <v>6</v>
      </c>
      <c r="C18" s="424" t="s">
        <v>379</v>
      </c>
      <c r="D18" s="425"/>
      <c r="E18" s="425"/>
      <c r="F18" s="425"/>
      <c r="G18" s="425"/>
      <c r="H18" s="425">
        <f>+M4*SUM('[1]ĐỊNH MỨC VT LÒ'!I6:$I$15)</f>
        <v>27.372222222222224</v>
      </c>
      <c r="I18" s="425">
        <f>(79000*2.15+42000*11)/M4</f>
        <v>9.7207692307692302</v>
      </c>
      <c r="J18" s="425">
        <f>+(AD3*SUM(Y4:Z4))/65000</f>
        <v>0</v>
      </c>
      <c r="K18" s="425">
        <v>15</v>
      </c>
      <c r="L18" s="426"/>
      <c r="M18" s="425">
        <v>65000</v>
      </c>
      <c r="N18" s="429">
        <f>+O4/M4</f>
        <v>3.9807692307692309E-4</v>
      </c>
      <c r="O18" s="427">
        <f>+SUM(Y4:Z4)</f>
        <v>25.875</v>
      </c>
      <c r="P18" s="423" t="s">
        <v>164</v>
      </c>
      <c r="Q18" s="433">
        <v>3.75</v>
      </c>
      <c r="R18" s="360"/>
    </row>
    <row r="19" spans="1:18">
      <c r="A19" s="781"/>
      <c r="B19" s="423"/>
      <c r="C19" s="424" t="s">
        <v>414</v>
      </c>
      <c r="D19" s="425"/>
      <c r="E19" s="425"/>
      <c r="F19" s="425"/>
      <c r="G19" s="425"/>
      <c r="H19" s="425">
        <f>+M5*SUM('[1]ĐỊNH MỨC VT LÒ'!I7:$I$15)</f>
        <v>27.146527777777781</v>
      </c>
      <c r="I19" s="425">
        <f>(79000*2.15+42000*11)/M5</f>
        <v>9.7207692307692302</v>
      </c>
      <c r="J19" s="425">
        <f>+(AD3*SUM(Y4:Z4))/65000</f>
        <v>0</v>
      </c>
      <c r="K19" s="425">
        <v>15</v>
      </c>
      <c r="L19" s="426"/>
      <c r="M19" s="425">
        <v>65000</v>
      </c>
      <c r="N19" s="429">
        <f>+O5/M5</f>
        <v>3.9807692307692309E-4</v>
      </c>
      <c r="O19" s="427">
        <f>+SUM(Y5:Z5)</f>
        <v>25.875</v>
      </c>
      <c r="P19" s="423" t="s">
        <v>164</v>
      </c>
      <c r="Q19" s="433">
        <v>4</v>
      </c>
      <c r="R19" s="360"/>
    </row>
    <row r="20" spans="1:18">
      <c r="A20" s="781"/>
      <c r="B20" s="423">
        <v>7</v>
      </c>
      <c r="C20" s="424" t="s">
        <v>380</v>
      </c>
      <c r="D20" s="423"/>
      <c r="E20" s="423"/>
      <c r="F20" s="423"/>
      <c r="G20" s="425"/>
      <c r="H20" s="427">
        <v>11.19670138888889</v>
      </c>
      <c r="I20" s="427">
        <v>18.527950310559007</v>
      </c>
      <c r="J20" s="427">
        <f>+(AD3*SUM(Y4:Z4))/65000</f>
        <v>0</v>
      </c>
      <c r="K20" s="427">
        <v>15</v>
      </c>
      <c r="L20" s="423"/>
      <c r="M20" s="425">
        <v>29000</v>
      </c>
      <c r="N20" s="429">
        <v>1.7672413793103447E-4</v>
      </c>
      <c r="O20" s="427">
        <v>5.125</v>
      </c>
      <c r="P20" s="423" t="s">
        <v>164</v>
      </c>
      <c r="Q20" s="433">
        <v>0</v>
      </c>
      <c r="R20" s="360"/>
    </row>
    <row r="21" spans="1:18">
      <c r="A21" s="781"/>
      <c r="B21" s="486">
        <v>8</v>
      </c>
      <c r="C21" s="487" t="s">
        <v>381</v>
      </c>
      <c r="D21" s="486"/>
      <c r="E21" s="486"/>
      <c r="F21" s="486"/>
      <c r="G21" s="526"/>
      <c r="H21" s="488">
        <f>AVERAGE(H4,H12)</f>
        <v>19.07673611111111</v>
      </c>
      <c r="I21" s="488">
        <f t="shared" ref="I21:K21" si="11">AVERAGE(I4,I12)</f>
        <v>13.19371794871795</v>
      </c>
      <c r="J21" s="488">
        <f t="shared" si="11"/>
        <v>0</v>
      </c>
      <c r="K21" s="488">
        <f t="shared" si="11"/>
        <v>15</v>
      </c>
      <c r="L21" s="489"/>
      <c r="M21" s="526">
        <f>AVERAGE(M12,M4)</f>
        <v>47500</v>
      </c>
      <c r="N21" s="524">
        <f>+O21/M21</f>
        <v>3.7763157894736842E-4</v>
      </c>
      <c r="O21" s="488">
        <f>AVERAGE(O12,O4)</f>
        <v>17.9375</v>
      </c>
      <c r="P21" s="486" t="s">
        <v>164</v>
      </c>
      <c r="Q21" s="490">
        <v>0</v>
      </c>
      <c r="R21" s="360"/>
    </row>
    <row r="22" spans="1:18">
      <c r="A22" s="781"/>
      <c r="B22" s="486">
        <v>9</v>
      </c>
      <c r="C22" s="487" t="s">
        <v>391</v>
      </c>
      <c r="D22" s="486"/>
      <c r="E22" s="486"/>
      <c r="F22" s="486"/>
      <c r="G22" s="526"/>
      <c r="H22" s="488">
        <f>+AVERAGE(H4,H7,H12)</f>
        <v>17.347222222222225</v>
      </c>
      <c r="I22" s="488">
        <f t="shared" ref="I22:K22" si="12">+AVERAGE(I4,I7,I12)</f>
        <v>13.176764346764349</v>
      </c>
      <c r="J22" s="488">
        <f t="shared" si="12"/>
        <v>0</v>
      </c>
      <c r="K22" s="488">
        <f t="shared" si="12"/>
        <v>15</v>
      </c>
      <c r="L22" s="486"/>
      <c r="M22" s="526">
        <f>+AVERAGE(M11,M7,M12)</f>
        <v>29333.333333333332</v>
      </c>
      <c r="N22" s="524">
        <f>+O22/M22</f>
        <v>2.3011363636363637E-4</v>
      </c>
      <c r="O22" s="488">
        <f>+AVERAGE(O11,O7,O12)</f>
        <v>6.75</v>
      </c>
      <c r="P22" s="486" t="s">
        <v>164</v>
      </c>
      <c r="Q22" s="490">
        <v>0</v>
      </c>
      <c r="R22" s="360"/>
    </row>
    <row r="23" spans="1:18" ht="15.75" thickBot="1">
      <c r="B23" s="434">
        <v>10</v>
      </c>
      <c r="C23" s="435" t="s">
        <v>393</v>
      </c>
      <c r="D23" s="434"/>
      <c r="E23" s="434"/>
      <c r="F23" s="434"/>
      <c r="G23" s="527"/>
      <c r="H23" s="436">
        <f>+AVERAGE(H4,H7,H11,H12)</f>
        <v>15.136718750000002</v>
      </c>
      <c r="I23" s="436">
        <f t="shared" ref="I23:K23" si="13">+AVERAGE(I4,I7,I11,I12)</f>
        <v>15.86083412963848</v>
      </c>
      <c r="J23" s="436">
        <f t="shared" si="13"/>
        <v>0</v>
      </c>
      <c r="K23" s="436">
        <f t="shared" si="13"/>
        <v>15</v>
      </c>
      <c r="L23" s="434"/>
      <c r="M23" s="527">
        <f>+AVERAGE(M4,M7,M11,M12)</f>
        <v>38250</v>
      </c>
      <c r="N23" s="525">
        <f>+O23/M23</f>
        <v>3.014705882352941E-4</v>
      </c>
      <c r="O23" s="436">
        <f t="shared" ref="O23" si="14">+AVERAGE(O4,O7,O11,O12)</f>
        <v>11.53125</v>
      </c>
      <c r="P23" s="434" t="s">
        <v>164</v>
      </c>
      <c r="Q23" s="531">
        <v>0</v>
      </c>
      <c r="R23" s="360"/>
    </row>
    <row r="24" spans="1:18">
      <c r="R24" s="360"/>
    </row>
    <row r="25" spans="1:18">
      <c r="R25" s="360"/>
    </row>
    <row r="26" spans="1:18">
      <c r="R26" s="360"/>
    </row>
    <row r="27" spans="1:18">
      <c r="R27" s="360"/>
    </row>
    <row r="28" spans="1:18">
      <c r="R28" s="360"/>
    </row>
    <row r="29" spans="1:18">
      <c r="R29" s="360"/>
    </row>
    <row r="30" spans="1:18">
      <c r="R30" s="360"/>
    </row>
    <row r="31" spans="1:18">
      <c r="R31" s="360"/>
    </row>
    <row r="32" spans="1:18">
      <c r="R32" s="360"/>
    </row>
    <row r="33" spans="18:18">
      <c r="R33" s="360"/>
    </row>
    <row r="34" spans="18:18">
      <c r="R34" s="360"/>
    </row>
    <row r="35" spans="18:18">
      <c r="R35" s="360"/>
    </row>
    <row r="36" spans="18:18">
      <c r="R36" s="360"/>
    </row>
    <row r="37" spans="18:18">
      <c r="R37" s="360"/>
    </row>
    <row r="38" spans="18:18">
      <c r="R38" s="360"/>
    </row>
    <row r="39" spans="18:18">
      <c r="R39" s="360"/>
    </row>
    <row r="40" spans="18:18">
      <c r="R40" s="360"/>
    </row>
    <row r="41" spans="18:18">
      <c r="R41" s="360"/>
    </row>
    <row r="42" spans="18:18">
      <c r="R42" s="360"/>
    </row>
    <row r="43" spans="18:18">
      <c r="R43" s="360"/>
    </row>
    <row r="44" spans="18:18">
      <c r="R44" s="360"/>
    </row>
    <row r="45" spans="18:18">
      <c r="R45" s="360"/>
    </row>
    <row r="46" spans="18:18">
      <c r="R46" s="360"/>
    </row>
    <row r="47" spans="18:18">
      <c r="R47" s="360"/>
    </row>
    <row r="48" spans="18:18">
      <c r="R48" s="360"/>
    </row>
    <row r="49" spans="18:18">
      <c r="R49" s="360"/>
    </row>
    <row r="50" spans="18:18">
      <c r="R50" s="360"/>
    </row>
    <row r="51" spans="18:18">
      <c r="R51" s="360"/>
    </row>
    <row r="52" spans="18:18">
      <c r="R52" s="360"/>
    </row>
    <row r="53" spans="18:18">
      <c r="R53" s="360"/>
    </row>
    <row r="54" spans="18:18">
      <c r="R54" s="360"/>
    </row>
    <row r="55" spans="18:18">
      <c r="R55" s="360"/>
    </row>
    <row r="56" spans="18:18">
      <c r="R56" s="360"/>
    </row>
    <row r="57" spans="18:18">
      <c r="R57" s="360"/>
    </row>
    <row r="58" spans="18:18">
      <c r="R58" s="360"/>
    </row>
    <row r="59" spans="18:18">
      <c r="R59" s="360"/>
    </row>
    <row r="60" spans="18:18">
      <c r="R60" s="360"/>
    </row>
    <row r="61" spans="18:18">
      <c r="R61" s="360"/>
    </row>
    <row r="62" spans="18:18">
      <c r="R62" s="360"/>
    </row>
    <row r="63" spans="18:18">
      <c r="R63" s="360"/>
    </row>
    <row r="64" spans="18:18">
      <c r="R64" s="360"/>
    </row>
    <row r="65" spans="18:18">
      <c r="R65" s="360"/>
    </row>
    <row r="66" spans="18:18">
      <c r="R66" s="360"/>
    </row>
    <row r="67" spans="18:18">
      <c r="R67" s="360"/>
    </row>
    <row r="68" spans="18:18">
      <c r="R68" s="360"/>
    </row>
    <row r="69" spans="18:18">
      <c r="R69" s="360"/>
    </row>
    <row r="70" spans="18:18">
      <c r="R70" s="360"/>
    </row>
    <row r="71" spans="18:18">
      <c r="R71" s="360"/>
    </row>
    <row r="72" spans="18:18">
      <c r="R72" s="360"/>
    </row>
    <row r="73" spans="18:18">
      <c r="R73" s="360"/>
    </row>
    <row r="74" spans="18:18">
      <c r="R74" s="360"/>
    </row>
    <row r="75" spans="18:18">
      <c r="R75" s="360"/>
    </row>
    <row r="76" spans="18:18">
      <c r="R76" s="360"/>
    </row>
    <row r="77" spans="18:18">
      <c r="R77" s="360"/>
    </row>
    <row r="78" spans="18:18">
      <c r="R78" s="360"/>
    </row>
    <row r="79" spans="18:18">
      <c r="R79" s="360"/>
    </row>
    <row r="80" spans="18:18">
      <c r="R80" s="360"/>
    </row>
  </sheetData>
  <mergeCells count="19">
    <mergeCell ref="Y2:AB2"/>
    <mergeCell ref="S2:S12"/>
    <mergeCell ref="L2:L3"/>
    <mergeCell ref="N2:N3"/>
    <mergeCell ref="M2:M3"/>
    <mergeCell ref="O2:O3"/>
    <mergeCell ref="P2:P3"/>
    <mergeCell ref="R2:R3"/>
    <mergeCell ref="B2:B3"/>
    <mergeCell ref="C2:C3"/>
    <mergeCell ref="A13:A22"/>
    <mergeCell ref="A1:P1"/>
    <mergeCell ref="T2:W2"/>
    <mergeCell ref="A4:A7"/>
    <mergeCell ref="A8:A9"/>
    <mergeCell ref="A11:A12"/>
    <mergeCell ref="D2:F2"/>
    <mergeCell ref="H2:K2"/>
    <mergeCell ref="A2:A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R47"/>
  <sheetViews>
    <sheetView zoomScale="55" zoomScaleNormal="55" workbookViewId="0">
      <selection activeCell="J12" sqref="J12"/>
    </sheetView>
  </sheetViews>
  <sheetFormatPr defaultColWidth="10.28515625" defaultRowHeight="19.5"/>
  <cols>
    <col min="1" max="1" width="3.7109375" style="4" customWidth="1"/>
    <col min="2" max="2" width="27.28515625" style="4" bestFit="1" customWidth="1"/>
    <col min="3" max="3" width="10.28515625" style="13"/>
    <col min="4" max="4" width="50.28515625" style="13" bestFit="1" customWidth="1"/>
    <col min="5" max="5" width="15" style="13" customWidth="1"/>
    <col min="6" max="7" width="15.140625" style="13" customWidth="1"/>
    <col min="8" max="8" width="13.28515625" style="13" customWidth="1"/>
    <col min="9" max="9" width="23.140625" style="14" customWidth="1"/>
    <col min="10" max="10" width="14" style="13" bestFit="1" customWidth="1"/>
    <col min="11" max="11" width="17.28515625" style="13" customWidth="1"/>
    <col min="12" max="12" width="15.5703125" style="13" customWidth="1"/>
    <col min="13" max="43" width="13.28515625" style="4" customWidth="1"/>
    <col min="44" max="44" width="16.85546875" style="4" customWidth="1"/>
    <col min="45" max="16384" width="10.28515625" style="4"/>
  </cols>
  <sheetData>
    <row r="1" spans="2:44" ht="68.25" customHeight="1">
      <c r="B1" s="801" t="s">
        <v>25</v>
      </c>
      <c r="C1" s="802"/>
      <c r="D1" s="802"/>
      <c r="E1" s="802"/>
      <c r="F1" s="802"/>
      <c r="G1" s="802"/>
      <c r="H1" s="802"/>
      <c r="I1" s="802"/>
      <c r="J1" s="802"/>
      <c r="K1" s="802"/>
      <c r="L1" s="802"/>
      <c r="M1" s="802"/>
      <c r="N1" s="802"/>
      <c r="O1" s="802"/>
      <c r="P1" s="802"/>
      <c r="Q1" s="802"/>
      <c r="R1" s="802"/>
      <c r="S1" s="802"/>
      <c r="T1" s="802"/>
      <c r="U1" s="802"/>
      <c r="V1" s="802"/>
      <c r="W1" s="802"/>
      <c r="X1" s="802"/>
      <c r="Y1" s="802"/>
      <c r="Z1" s="802"/>
      <c r="AA1" s="802"/>
      <c r="AB1" s="802"/>
      <c r="AC1" s="802"/>
      <c r="AD1" s="802"/>
      <c r="AE1" s="802"/>
      <c r="AF1" s="802"/>
      <c r="AG1" s="802"/>
      <c r="AH1" s="802"/>
      <c r="AI1" s="802"/>
      <c r="AJ1" s="802"/>
      <c r="AK1" s="802"/>
      <c r="AL1" s="802"/>
      <c r="AM1" s="802"/>
      <c r="AN1" s="802"/>
      <c r="AO1" s="802"/>
      <c r="AP1" s="802"/>
      <c r="AQ1" s="802"/>
      <c r="AR1" s="802"/>
    </row>
    <row r="2" spans="2:44" ht="34.5" customHeight="1">
      <c r="B2" s="799" t="s">
        <v>26</v>
      </c>
      <c r="C2" s="799"/>
      <c r="D2" s="5" t="s">
        <v>27</v>
      </c>
      <c r="E2" s="5" t="s">
        <v>28</v>
      </c>
      <c r="F2" s="799" t="s">
        <v>29</v>
      </c>
      <c r="G2" s="799"/>
      <c r="H2" s="805"/>
      <c r="I2" s="809"/>
      <c r="J2" s="809"/>
      <c r="K2" s="805" t="s">
        <v>139</v>
      </c>
      <c r="L2" s="806"/>
      <c r="M2" s="799" t="s">
        <v>147</v>
      </c>
      <c r="N2" s="799"/>
      <c r="O2" s="799"/>
      <c r="P2" s="799"/>
      <c r="Q2" s="799"/>
      <c r="R2" s="799"/>
      <c r="S2" s="799"/>
      <c r="T2" s="799"/>
      <c r="U2" s="799"/>
      <c r="V2" s="799"/>
      <c r="W2" s="799"/>
      <c r="X2" s="799"/>
      <c r="Y2" s="799"/>
      <c r="Z2" s="799"/>
      <c r="AA2" s="799"/>
      <c r="AB2" s="799"/>
      <c r="AC2" s="799"/>
      <c r="AD2" s="799"/>
      <c r="AE2" s="799"/>
      <c r="AF2" s="799"/>
      <c r="AG2" s="799"/>
      <c r="AH2" s="799"/>
      <c r="AI2" s="799"/>
      <c r="AJ2" s="799"/>
      <c r="AK2" s="799"/>
      <c r="AL2" s="799"/>
      <c r="AM2" s="799"/>
      <c r="AN2" s="799"/>
      <c r="AO2" s="799"/>
      <c r="AP2" s="799"/>
      <c r="AQ2" s="799"/>
      <c r="AR2" s="800" t="s">
        <v>148</v>
      </c>
    </row>
    <row r="3" spans="2:44" ht="51.75" customHeight="1">
      <c r="B3" s="811" t="s">
        <v>30</v>
      </c>
      <c r="C3" s="811"/>
      <c r="D3" s="6">
        <v>5</v>
      </c>
      <c r="E3" s="6" t="s">
        <v>31</v>
      </c>
      <c r="F3" s="6">
        <v>1</v>
      </c>
      <c r="G3" s="6" t="s">
        <v>32</v>
      </c>
      <c r="H3" s="807"/>
      <c r="I3" s="810"/>
      <c r="J3" s="810"/>
      <c r="K3" s="807"/>
      <c r="L3" s="808"/>
      <c r="M3" s="799"/>
      <c r="N3" s="799"/>
      <c r="O3" s="799"/>
      <c r="P3" s="799"/>
      <c r="Q3" s="799"/>
      <c r="R3" s="799"/>
      <c r="S3" s="799"/>
      <c r="T3" s="799"/>
      <c r="U3" s="799"/>
      <c r="V3" s="799"/>
      <c r="W3" s="799"/>
      <c r="X3" s="799"/>
      <c r="Y3" s="799"/>
      <c r="Z3" s="799"/>
      <c r="AA3" s="799"/>
      <c r="AB3" s="799"/>
      <c r="AC3" s="799"/>
      <c r="AD3" s="799"/>
      <c r="AE3" s="799"/>
      <c r="AF3" s="799"/>
      <c r="AG3" s="799"/>
      <c r="AH3" s="799"/>
      <c r="AI3" s="799"/>
      <c r="AJ3" s="799"/>
      <c r="AK3" s="799"/>
      <c r="AL3" s="799"/>
      <c r="AM3" s="799"/>
      <c r="AN3" s="799"/>
      <c r="AO3" s="799"/>
      <c r="AP3" s="799"/>
      <c r="AQ3" s="799"/>
      <c r="AR3" s="800"/>
    </row>
    <row r="4" spans="2:44" ht="26.25" customHeight="1">
      <c r="B4" s="803" t="s">
        <v>33</v>
      </c>
      <c r="C4" s="803" t="s">
        <v>34</v>
      </c>
      <c r="D4" s="803" t="s">
        <v>35</v>
      </c>
      <c r="E4" s="799" t="s">
        <v>36</v>
      </c>
      <c r="F4" s="799"/>
      <c r="G4" s="799"/>
      <c r="H4" s="803" t="s">
        <v>28</v>
      </c>
      <c r="I4" s="812" t="s">
        <v>37</v>
      </c>
      <c r="J4" s="805" t="s">
        <v>135</v>
      </c>
      <c r="K4" s="803" t="s">
        <v>145</v>
      </c>
      <c r="L4" s="803" t="s">
        <v>146</v>
      </c>
      <c r="M4" s="110">
        <v>45931</v>
      </c>
      <c r="N4" s="110">
        <f>M4+1</f>
        <v>45932</v>
      </c>
      <c r="O4" s="110">
        <f t="shared" ref="O4:AQ4" si="0">N4+1</f>
        <v>45933</v>
      </c>
      <c r="P4" s="110">
        <f t="shared" si="0"/>
        <v>45934</v>
      </c>
      <c r="Q4" s="110">
        <f t="shared" si="0"/>
        <v>45935</v>
      </c>
      <c r="R4" s="110">
        <f t="shared" si="0"/>
        <v>45936</v>
      </c>
      <c r="S4" s="110">
        <f t="shared" si="0"/>
        <v>45937</v>
      </c>
      <c r="T4" s="110">
        <f t="shared" si="0"/>
        <v>45938</v>
      </c>
      <c r="U4" s="110">
        <f t="shared" si="0"/>
        <v>45939</v>
      </c>
      <c r="V4" s="110">
        <f t="shared" si="0"/>
        <v>45940</v>
      </c>
      <c r="W4" s="110">
        <f t="shared" si="0"/>
        <v>45941</v>
      </c>
      <c r="X4" s="110">
        <f t="shared" si="0"/>
        <v>45942</v>
      </c>
      <c r="Y4" s="110">
        <f t="shared" si="0"/>
        <v>45943</v>
      </c>
      <c r="Z4" s="110">
        <f t="shared" si="0"/>
        <v>45944</v>
      </c>
      <c r="AA4" s="110">
        <f t="shared" si="0"/>
        <v>45945</v>
      </c>
      <c r="AB4" s="110">
        <f t="shared" si="0"/>
        <v>45946</v>
      </c>
      <c r="AC4" s="110">
        <f t="shared" si="0"/>
        <v>45947</v>
      </c>
      <c r="AD4" s="110">
        <f t="shared" si="0"/>
        <v>45948</v>
      </c>
      <c r="AE4" s="110">
        <f t="shared" si="0"/>
        <v>45949</v>
      </c>
      <c r="AF4" s="110">
        <f t="shared" si="0"/>
        <v>45950</v>
      </c>
      <c r="AG4" s="110">
        <f t="shared" si="0"/>
        <v>45951</v>
      </c>
      <c r="AH4" s="110">
        <f t="shared" si="0"/>
        <v>45952</v>
      </c>
      <c r="AI4" s="110">
        <f t="shared" si="0"/>
        <v>45953</v>
      </c>
      <c r="AJ4" s="110">
        <f t="shared" si="0"/>
        <v>45954</v>
      </c>
      <c r="AK4" s="110">
        <f t="shared" si="0"/>
        <v>45955</v>
      </c>
      <c r="AL4" s="110">
        <f t="shared" si="0"/>
        <v>45956</v>
      </c>
      <c r="AM4" s="110">
        <f t="shared" si="0"/>
        <v>45957</v>
      </c>
      <c r="AN4" s="110">
        <f t="shared" si="0"/>
        <v>45958</v>
      </c>
      <c r="AO4" s="110">
        <f t="shared" si="0"/>
        <v>45959</v>
      </c>
      <c r="AP4" s="110">
        <f t="shared" si="0"/>
        <v>45960</v>
      </c>
      <c r="AQ4" s="110">
        <f t="shared" si="0"/>
        <v>45961</v>
      </c>
      <c r="AR4" s="800"/>
    </row>
    <row r="5" spans="2:44" ht="26.25" customHeight="1">
      <c r="B5" s="815"/>
      <c r="C5" s="815"/>
      <c r="D5" s="815"/>
      <c r="E5" s="7" t="s">
        <v>38</v>
      </c>
      <c r="F5" s="7" t="s">
        <v>28</v>
      </c>
      <c r="G5" s="7" t="s">
        <v>39</v>
      </c>
      <c r="H5" s="815"/>
      <c r="I5" s="813"/>
      <c r="J5" s="814"/>
      <c r="K5" s="804"/>
      <c r="L5" s="804"/>
      <c r="M5" s="111" t="str">
        <f>TEXT(M4,"ddd")</f>
        <v>Wed</v>
      </c>
      <c r="N5" s="111" t="str">
        <f t="shared" ref="N5:AQ5" si="1">TEXT(N4,"ddd")</f>
        <v>Thu</v>
      </c>
      <c r="O5" s="111" t="str">
        <f t="shared" si="1"/>
        <v>Fri</v>
      </c>
      <c r="P5" s="111" t="str">
        <f t="shared" si="1"/>
        <v>Sat</v>
      </c>
      <c r="Q5" s="111" t="str">
        <f t="shared" si="1"/>
        <v>Sun</v>
      </c>
      <c r="R5" s="111" t="str">
        <f t="shared" si="1"/>
        <v>Mon</v>
      </c>
      <c r="S5" s="111" t="str">
        <f t="shared" si="1"/>
        <v>Tue</v>
      </c>
      <c r="T5" s="111" t="str">
        <f t="shared" si="1"/>
        <v>Wed</v>
      </c>
      <c r="U5" s="111" t="str">
        <f t="shared" si="1"/>
        <v>Thu</v>
      </c>
      <c r="V5" s="111" t="str">
        <f t="shared" si="1"/>
        <v>Fri</v>
      </c>
      <c r="W5" s="111" t="str">
        <f t="shared" si="1"/>
        <v>Sat</v>
      </c>
      <c r="X5" s="111" t="str">
        <f t="shared" si="1"/>
        <v>Sun</v>
      </c>
      <c r="Y5" s="111" t="str">
        <f t="shared" si="1"/>
        <v>Mon</v>
      </c>
      <c r="Z5" s="111" t="str">
        <f t="shared" si="1"/>
        <v>Tue</v>
      </c>
      <c r="AA5" s="111" t="str">
        <f t="shared" si="1"/>
        <v>Wed</v>
      </c>
      <c r="AB5" s="111" t="str">
        <f t="shared" si="1"/>
        <v>Thu</v>
      </c>
      <c r="AC5" s="111" t="str">
        <f t="shared" si="1"/>
        <v>Fri</v>
      </c>
      <c r="AD5" s="111" t="str">
        <f t="shared" si="1"/>
        <v>Sat</v>
      </c>
      <c r="AE5" s="111" t="str">
        <f t="shared" si="1"/>
        <v>Sun</v>
      </c>
      <c r="AF5" s="111" t="str">
        <f t="shared" si="1"/>
        <v>Mon</v>
      </c>
      <c r="AG5" s="111" t="str">
        <f t="shared" si="1"/>
        <v>Tue</v>
      </c>
      <c r="AH5" s="111" t="str">
        <f t="shared" si="1"/>
        <v>Wed</v>
      </c>
      <c r="AI5" s="111" t="str">
        <f t="shared" si="1"/>
        <v>Thu</v>
      </c>
      <c r="AJ5" s="111" t="str">
        <f t="shared" si="1"/>
        <v>Fri</v>
      </c>
      <c r="AK5" s="111" t="str">
        <f t="shared" si="1"/>
        <v>Sat</v>
      </c>
      <c r="AL5" s="111" t="str">
        <f t="shared" si="1"/>
        <v>Sun</v>
      </c>
      <c r="AM5" s="111" t="str">
        <f t="shared" si="1"/>
        <v>Mon</v>
      </c>
      <c r="AN5" s="111" t="str">
        <f t="shared" si="1"/>
        <v>Tue</v>
      </c>
      <c r="AO5" s="111" t="str">
        <f t="shared" si="1"/>
        <v>Wed</v>
      </c>
      <c r="AP5" s="111" t="str">
        <f t="shared" si="1"/>
        <v>Thu</v>
      </c>
      <c r="AQ5" s="111" t="str">
        <f t="shared" si="1"/>
        <v>Fri</v>
      </c>
      <c r="AR5" s="800"/>
    </row>
    <row r="6" spans="2:44" ht="37.5" customHeight="1">
      <c r="B6" s="816" t="s">
        <v>40</v>
      </c>
      <c r="C6" s="8">
        <v>1</v>
      </c>
      <c r="D6" s="9" t="s">
        <v>41</v>
      </c>
      <c r="E6" s="8">
        <v>576</v>
      </c>
      <c r="F6" s="8" t="s">
        <v>42</v>
      </c>
      <c r="G6" s="8">
        <v>10</v>
      </c>
      <c r="H6" s="8" t="s">
        <v>43</v>
      </c>
      <c r="I6" s="10">
        <f>G6/(((E6*$D$3)/$F$3)*1000)</f>
        <v>3.4722222222222224E-6</v>
      </c>
      <c r="J6" s="8" t="s">
        <v>136</v>
      </c>
      <c r="K6" s="8">
        <v>4</v>
      </c>
      <c r="L6" s="8">
        <v>10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12">
        <f>SUM(K6:L6)-SUM(M6:AQ6)</f>
        <v>14</v>
      </c>
    </row>
    <row r="7" spans="2:44" ht="37.5" customHeight="1">
      <c r="B7" s="817"/>
      <c r="C7" s="8">
        <f>C6+1</f>
        <v>2</v>
      </c>
      <c r="D7" s="9" t="s">
        <v>44</v>
      </c>
      <c r="E7" s="8">
        <v>576</v>
      </c>
      <c r="F7" s="8" t="s">
        <v>42</v>
      </c>
      <c r="G7" s="8">
        <v>60</v>
      </c>
      <c r="H7" s="8" t="s">
        <v>45</v>
      </c>
      <c r="I7" s="10">
        <f t="shared" ref="I7:I46" si="2">G7/(((E7*$D$3)/$F$3)*1000)</f>
        <v>2.0833333333333333E-5</v>
      </c>
      <c r="J7" s="8" t="s">
        <v>137</v>
      </c>
      <c r="K7" s="8">
        <v>30</v>
      </c>
      <c r="L7" s="8">
        <v>200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12">
        <f t="shared" ref="AR7:AR46" si="3">SUM(K7:L7)-SUM(M7:AQ7)</f>
        <v>230</v>
      </c>
    </row>
    <row r="8" spans="2:44" ht="37.5" customHeight="1">
      <c r="B8" s="817"/>
      <c r="C8" s="8">
        <f>C7+1</f>
        <v>3</v>
      </c>
      <c r="D8" s="9" t="s">
        <v>46</v>
      </c>
      <c r="E8" s="8">
        <v>2880</v>
      </c>
      <c r="F8" s="8" t="s">
        <v>42</v>
      </c>
      <c r="G8" s="8">
        <v>30</v>
      </c>
      <c r="H8" s="8" t="s">
        <v>47</v>
      </c>
      <c r="I8" s="10">
        <f t="shared" si="2"/>
        <v>2.0833333333333334E-6</v>
      </c>
      <c r="J8" s="8" t="s">
        <v>136</v>
      </c>
      <c r="K8" s="8">
        <v>50</v>
      </c>
      <c r="L8" s="8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12">
        <f t="shared" si="3"/>
        <v>50</v>
      </c>
    </row>
    <row r="9" spans="2:44" ht="37.5" customHeight="1">
      <c r="B9" s="817"/>
      <c r="C9" s="8">
        <f t="shared" ref="C9:C15" si="4">C8+1</f>
        <v>4</v>
      </c>
      <c r="D9" s="9" t="s">
        <v>48</v>
      </c>
      <c r="E9" s="8">
        <v>2880</v>
      </c>
      <c r="F9" s="8" t="s">
        <v>42</v>
      </c>
      <c r="G9" s="8">
        <v>144</v>
      </c>
      <c r="H9" s="8" t="s">
        <v>49</v>
      </c>
      <c r="I9" s="10">
        <f t="shared" si="2"/>
        <v>1.0000000000000001E-5</v>
      </c>
      <c r="J9" s="8" t="s">
        <v>136</v>
      </c>
      <c r="K9" s="8">
        <v>300</v>
      </c>
      <c r="L9" s="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12">
        <f t="shared" si="3"/>
        <v>300</v>
      </c>
    </row>
    <row r="10" spans="2:44" ht="37.5" customHeight="1">
      <c r="B10" s="817"/>
      <c r="C10" s="8">
        <f t="shared" si="4"/>
        <v>5</v>
      </c>
      <c r="D10" s="9" t="s">
        <v>50</v>
      </c>
      <c r="E10" s="8">
        <v>2880</v>
      </c>
      <c r="F10" s="8" t="s">
        <v>42</v>
      </c>
      <c r="G10" s="8">
        <v>215</v>
      </c>
      <c r="H10" s="8" t="s">
        <v>49</v>
      </c>
      <c r="I10" s="10">
        <f t="shared" si="2"/>
        <v>1.4930555555555555E-5</v>
      </c>
      <c r="J10" s="8" t="s">
        <v>137</v>
      </c>
      <c r="K10" s="8">
        <v>450</v>
      </c>
      <c r="L10" s="8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12">
        <f t="shared" si="3"/>
        <v>450</v>
      </c>
    </row>
    <row r="11" spans="2:44" ht="37.5" customHeight="1">
      <c r="B11" s="817"/>
      <c r="C11" s="8">
        <f t="shared" si="4"/>
        <v>6</v>
      </c>
      <c r="D11" s="9" t="s">
        <v>51</v>
      </c>
      <c r="E11" s="8">
        <v>2880</v>
      </c>
      <c r="F11" s="8" t="s">
        <v>42</v>
      </c>
      <c r="G11" s="8">
        <v>150</v>
      </c>
      <c r="H11" s="8" t="s">
        <v>49</v>
      </c>
      <c r="I11" s="10">
        <f t="shared" si="2"/>
        <v>1.0416666666666666E-5</v>
      </c>
      <c r="J11" s="8" t="s">
        <v>137</v>
      </c>
      <c r="K11" s="8"/>
      <c r="L11" s="8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12">
        <f t="shared" si="3"/>
        <v>0</v>
      </c>
    </row>
    <row r="12" spans="2:44" ht="37.5" customHeight="1">
      <c r="B12" s="817"/>
      <c r="C12" s="8">
        <f t="shared" si="4"/>
        <v>7</v>
      </c>
      <c r="D12" s="9" t="s">
        <v>52</v>
      </c>
      <c r="E12" s="8">
        <v>2880</v>
      </c>
      <c r="F12" s="8" t="s">
        <v>42</v>
      </c>
      <c r="G12" s="8">
        <v>975</v>
      </c>
      <c r="H12" s="8" t="s">
        <v>49</v>
      </c>
      <c r="I12" s="10">
        <f t="shared" si="2"/>
        <v>6.770833333333333E-5</v>
      </c>
      <c r="J12" s="8" t="s">
        <v>137</v>
      </c>
      <c r="K12" s="8">
        <v>100</v>
      </c>
      <c r="L12" s="8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12">
        <f t="shared" si="3"/>
        <v>100</v>
      </c>
    </row>
    <row r="13" spans="2:44" ht="37.5" customHeight="1">
      <c r="B13" s="817"/>
      <c r="C13" s="8">
        <f t="shared" si="4"/>
        <v>8</v>
      </c>
      <c r="D13" s="9" t="s">
        <v>53</v>
      </c>
      <c r="E13" s="8">
        <v>2880</v>
      </c>
      <c r="F13" s="8" t="s">
        <v>42</v>
      </c>
      <c r="G13" s="8">
        <v>2700</v>
      </c>
      <c r="H13" s="8" t="s">
        <v>54</v>
      </c>
      <c r="I13" s="10">
        <f t="shared" si="2"/>
        <v>1.875E-4</v>
      </c>
      <c r="J13" s="8" t="s">
        <v>137</v>
      </c>
      <c r="K13" s="8"/>
      <c r="L13" s="8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12">
        <f t="shared" si="3"/>
        <v>0</v>
      </c>
    </row>
    <row r="14" spans="2:44" ht="37.5" customHeight="1">
      <c r="B14" s="817"/>
      <c r="C14" s="8">
        <f t="shared" si="4"/>
        <v>9</v>
      </c>
      <c r="D14" s="9" t="s">
        <v>55</v>
      </c>
      <c r="E14" s="8">
        <v>2880</v>
      </c>
      <c r="F14" s="8" t="s">
        <v>42</v>
      </c>
      <c r="G14" s="8">
        <v>1000</v>
      </c>
      <c r="H14" s="8" t="s">
        <v>54</v>
      </c>
      <c r="I14" s="10">
        <f t="shared" si="2"/>
        <v>6.9444444444444444E-5</v>
      </c>
      <c r="J14" s="8" t="s">
        <v>137</v>
      </c>
      <c r="K14" s="8"/>
      <c r="L14" s="8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12">
        <f t="shared" si="3"/>
        <v>0</v>
      </c>
    </row>
    <row r="15" spans="2:44" ht="37.5" customHeight="1">
      <c r="B15" s="818"/>
      <c r="C15" s="8">
        <f t="shared" si="4"/>
        <v>10</v>
      </c>
      <c r="D15" s="9" t="s">
        <v>134</v>
      </c>
      <c r="E15" s="8">
        <v>2880</v>
      </c>
      <c r="F15" s="8" t="s">
        <v>42</v>
      </c>
      <c r="G15" s="8">
        <v>500</v>
      </c>
      <c r="H15" s="8" t="s">
        <v>60</v>
      </c>
      <c r="I15" s="10">
        <f t="shared" si="2"/>
        <v>3.4722222222222222E-5</v>
      </c>
      <c r="J15" s="8" t="s">
        <v>137</v>
      </c>
      <c r="K15" s="8">
        <v>191</v>
      </c>
      <c r="L15" s="8">
        <v>300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12">
        <f t="shared" si="3"/>
        <v>491</v>
      </c>
    </row>
    <row r="16" spans="2:44" ht="37.5" customHeight="1">
      <c r="B16" s="811" t="s">
        <v>56</v>
      </c>
      <c r="C16" s="8">
        <v>1</v>
      </c>
      <c r="D16" s="9" t="s">
        <v>57</v>
      </c>
      <c r="E16" s="8">
        <v>576</v>
      </c>
      <c r="F16" s="8" t="s">
        <v>42</v>
      </c>
      <c r="G16" s="8">
        <v>2</v>
      </c>
      <c r="H16" s="8" t="s">
        <v>58</v>
      </c>
      <c r="I16" s="11">
        <f t="shared" si="2"/>
        <v>6.9444444444444448E-7</v>
      </c>
      <c r="J16" s="8" t="s">
        <v>136</v>
      </c>
      <c r="K16" s="8"/>
      <c r="L16" s="8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12">
        <f t="shared" si="3"/>
        <v>0</v>
      </c>
    </row>
    <row r="17" spans="2:44" ht="37.5" customHeight="1">
      <c r="B17" s="811"/>
      <c r="C17" s="8">
        <f>C16+1</f>
        <v>2</v>
      </c>
      <c r="D17" s="9" t="s">
        <v>59</v>
      </c>
      <c r="E17" s="8">
        <v>576</v>
      </c>
      <c r="F17" s="8" t="s">
        <v>42</v>
      </c>
      <c r="G17" s="8">
        <v>1</v>
      </c>
      <c r="H17" s="8" t="s">
        <v>60</v>
      </c>
      <c r="I17" s="11">
        <f t="shared" si="2"/>
        <v>3.4722222222222224E-7</v>
      </c>
      <c r="J17" s="8" t="s">
        <v>136</v>
      </c>
      <c r="K17" s="8"/>
      <c r="L17" s="8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12">
        <f t="shared" si="3"/>
        <v>0</v>
      </c>
    </row>
    <row r="18" spans="2:44" ht="37.5" customHeight="1">
      <c r="B18" s="811"/>
      <c r="C18" s="8">
        <f t="shared" ref="C18:C36" si="5">C17+1</f>
        <v>3</v>
      </c>
      <c r="D18" s="9" t="s">
        <v>61</v>
      </c>
      <c r="E18" s="8">
        <v>576</v>
      </c>
      <c r="F18" s="8" t="s">
        <v>42</v>
      </c>
      <c r="G18" s="8">
        <v>1</v>
      </c>
      <c r="H18" s="8" t="s">
        <v>60</v>
      </c>
      <c r="I18" s="11">
        <f t="shared" si="2"/>
        <v>3.4722222222222224E-7</v>
      </c>
      <c r="J18" s="8" t="s">
        <v>136</v>
      </c>
      <c r="K18" s="8">
        <v>2</v>
      </c>
      <c r="L18" s="8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12">
        <f t="shared" si="3"/>
        <v>2</v>
      </c>
    </row>
    <row r="19" spans="2:44" ht="37.5" customHeight="1">
      <c r="B19" s="811"/>
      <c r="C19" s="8">
        <f t="shared" si="5"/>
        <v>4</v>
      </c>
      <c r="D19" s="9" t="s">
        <v>62</v>
      </c>
      <c r="E19" s="8">
        <v>1152</v>
      </c>
      <c r="F19" s="8" t="s">
        <v>42</v>
      </c>
      <c r="G19" s="8">
        <v>1</v>
      </c>
      <c r="H19" s="8" t="s">
        <v>63</v>
      </c>
      <c r="I19" s="11">
        <f t="shared" si="2"/>
        <v>1.7361111111111112E-7</v>
      </c>
      <c r="J19" s="8" t="s">
        <v>136</v>
      </c>
      <c r="K19" s="8">
        <v>2</v>
      </c>
      <c r="L19" s="8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12">
        <f t="shared" si="3"/>
        <v>2</v>
      </c>
    </row>
    <row r="20" spans="2:44" ht="37.5" customHeight="1">
      <c r="B20" s="811"/>
      <c r="C20" s="8">
        <f t="shared" si="5"/>
        <v>5</v>
      </c>
      <c r="D20" s="9" t="s">
        <v>64</v>
      </c>
      <c r="E20" s="8">
        <v>576</v>
      </c>
      <c r="F20" s="8" t="s">
        <v>42</v>
      </c>
      <c r="G20" s="8">
        <v>5</v>
      </c>
      <c r="H20" s="8" t="s">
        <v>58</v>
      </c>
      <c r="I20" s="11">
        <f t="shared" si="2"/>
        <v>1.7361111111111112E-6</v>
      </c>
      <c r="J20" s="8" t="s">
        <v>137</v>
      </c>
      <c r="K20" s="8"/>
      <c r="L20" s="8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12">
        <f t="shared" si="3"/>
        <v>0</v>
      </c>
    </row>
    <row r="21" spans="2:44" ht="37.5" customHeight="1">
      <c r="B21" s="811"/>
      <c r="C21" s="8">
        <f t="shared" si="5"/>
        <v>6</v>
      </c>
      <c r="D21" s="9" t="s">
        <v>65</v>
      </c>
      <c r="E21" s="8">
        <v>576</v>
      </c>
      <c r="F21" s="8" t="s">
        <v>42</v>
      </c>
      <c r="G21" s="8">
        <v>2</v>
      </c>
      <c r="H21" s="8" t="s">
        <v>58</v>
      </c>
      <c r="I21" s="11">
        <f t="shared" si="2"/>
        <v>6.9444444444444448E-7</v>
      </c>
      <c r="J21" s="8" t="s">
        <v>137</v>
      </c>
      <c r="K21" s="8">
        <v>16</v>
      </c>
      <c r="L21" s="8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12">
        <f t="shared" si="3"/>
        <v>16</v>
      </c>
    </row>
    <row r="22" spans="2:44" ht="37.5" customHeight="1">
      <c r="B22" s="811"/>
      <c r="C22" s="8">
        <f t="shared" si="5"/>
        <v>7</v>
      </c>
      <c r="D22" s="9" t="s">
        <v>66</v>
      </c>
      <c r="E22" s="8">
        <v>576</v>
      </c>
      <c r="F22" s="8" t="s">
        <v>42</v>
      </c>
      <c r="G22" s="8">
        <v>0.5</v>
      </c>
      <c r="H22" s="8" t="s">
        <v>63</v>
      </c>
      <c r="I22" s="11">
        <f t="shared" si="2"/>
        <v>1.7361111111111112E-7</v>
      </c>
      <c r="J22" s="8" t="s">
        <v>137</v>
      </c>
      <c r="K22" s="8"/>
      <c r="L22" s="8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12">
        <f t="shared" si="3"/>
        <v>0</v>
      </c>
    </row>
    <row r="23" spans="2:44" ht="37.5" customHeight="1">
      <c r="B23" s="811"/>
      <c r="C23" s="8">
        <f t="shared" si="5"/>
        <v>8</v>
      </c>
      <c r="D23" s="9" t="s">
        <v>67</v>
      </c>
      <c r="E23" s="8">
        <v>576</v>
      </c>
      <c r="F23" s="8" t="s">
        <v>42</v>
      </c>
      <c r="G23" s="8">
        <v>30</v>
      </c>
      <c r="H23" s="8" t="s">
        <v>68</v>
      </c>
      <c r="I23" s="11">
        <f t="shared" si="2"/>
        <v>1.0416666666666666E-5</v>
      </c>
      <c r="J23" s="8" t="s">
        <v>137</v>
      </c>
      <c r="K23" s="8">
        <v>0</v>
      </c>
      <c r="L23" s="8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12">
        <f t="shared" si="3"/>
        <v>0</v>
      </c>
    </row>
    <row r="24" spans="2:44" ht="37.5" customHeight="1">
      <c r="B24" s="811"/>
      <c r="C24" s="8">
        <f t="shared" si="5"/>
        <v>9</v>
      </c>
      <c r="D24" s="9" t="s">
        <v>69</v>
      </c>
      <c r="E24" s="8">
        <v>576</v>
      </c>
      <c r="F24" s="8" t="s">
        <v>42</v>
      </c>
      <c r="G24" s="8">
        <v>0.5</v>
      </c>
      <c r="H24" s="8" t="s">
        <v>58</v>
      </c>
      <c r="I24" s="11">
        <f t="shared" si="2"/>
        <v>1.7361111111111112E-7</v>
      </c>
      <c r="J24" s="8" t="s">
        <v>137</v>
      </c>
      <c r="K24" s="8"/>
      <c r="L24" s="8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12">
        <f t="shared" si="3"/>
        <v>0</v>
      </c>
    </row>
    <row r="25" spans="2:44" ht="37.5" customHeight="1">
      <c r="B25" s="811"/>
      <c r="C25" s="8">
        <f t="shared" si="5"/>
        <v>10</v>
      </c>
      <c r="D25" s="9" t="s">
        <v>70</v>
      </c>
      <c r="E25" s="8">
        <v>576</v>
      </c>
      <c r="F25" s="8" t="s">
        <v>42</v>
      </c>
      <c r="G25" s="8">
        <v>5</v>
      </c>
      <c r="H25" s="8" t="s">
        <v>58</v>
      </c>
      <c r="I25" s="11">
        <f t="shared" si="2"/>
        <v>1.7361111111111112E-6</v>
      </c>
      <c r="J25" s="8" t="s">
        <v>136</v>
      </c>
      <c r="K25" s="8"/>
      <c r="L25" s="8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12">
        <f t="shared" si="3"/>
        <v>0</v>
      </c>
    </row>
    <row r="26" spans="2:44" ht="37.5" customHeight="1">
      <c r="B26" s="811"/>
      <c r="C26" s="8">
        <f t="shared" si="5"/>
        <v>11</v>
      </c>
      <c r="D26" s="9" t="s">
        <v>71</v>
      </c>
      <c r="E26" s="8">
        <v>576</v>
      </c>
      <c r="F26" s="8" t="s">
        <v>42</v>
      </c>
      <c r="G26" s="8">
        <v>10</v>
      </c>
      <c r="H26" s="8" t="s">
        <v>58</v>
      </c>
      <c r="I26" s="11">
        <f t="shared" si="2"/>
        <v>3.4722222222222224E-6</v>
      </c>
      <c r="J26" s="8" t="s">
        <v>136</v>
      </c>
      <c r="K26" s="8"/>
      <c r="L26" s="8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12">
        <f t="shared" si="3"/>
        <v>0</v>
      </c>
    </row>
    <row r="27" spans="2:44" ht="37.5" customHeight="1">
      <c r="B27" s="811"/>
      <c r="C27" s="8">
        <f t="shared" si="5"/>
        <v>12</v>
      </c>
      <c r="D27" s="9" t="s">
        <v>72</v>
      </c>
      <c r="E27" s="8">
        <v>576</v>
      </c>
      <c r="F27" s="8" t="s">
        <v>42</v>
      </c>
      <c r="G27" s="8">
        <v>10</v>
      </c>
      <c r="H27" s="8" t="s">
        <v>58</v>
      </c>
      <c r="I27" s="11">
        <f t="shared" si="2"/>
        <v>3.4722222222222224E-6</v>
      </c>
      <c r="J27" s="8" t="s">
        <v>136</v>
      </c>
      <c r="K27" s="8"/>
      <c r="L27" s="8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12">
        <f t="shared" si="3"/>
        <v>0</v>
      </c>
    </row>
    <row r="28" spans="2:44" ht="37.5" customHeight="1">
      <c r="B28" s="811"/>
      <c r="C28" s="8">
        <f t="shared" si="5"/>
        <v>13</v>
      </c>
      <c r="D28" s="9" t="s">
        <v>73</v>
      </c>
      <c r="E28" s="8">
        <v>576</v>
      </c>
      <c r="F28" s="8" t="s">
        <v>42</v>
      </c>
      <c r="G28" s="8">
        <v>10</v>
      </c>
      <c r="H28" s="8" t="s">
        <v>58</v>
      </c>
      <c r="I28" s="11">
        <f t="shared" si="2"/>
        <v>3.4722222222222224E-6</v>
      </c>
      <c r="J28" s="8" t="s">
        <v>136</v>
      </c>
      <c r="K28" s="8"/>
      <c r="L28" s="8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12">
        <f t="shared" si="3"/>
        <v>0</v>
      </c>
    </row>
    <row r="29" spans="2:44" ht="37.5" customHeight="1">
      <c r="B29" s="811"/>
      <c r="C29" s="8">
        <f t="shared" si="5"/>
        <v>14</v>
      </c>
      <c r="D29" s="9" t="s">
        <v>74</v>
      </c>
      <c r="E29" s="8">
        <v>576</v>
      </c>
      <c r="F29" s="8" t="s">
        <v>42</v>
      </c>
      <c r="G29" s="8">
        <v>50</v>
      </c>
      <c r="H29" s="8" t="s">
        <v>68</v>
      </c>
      <c r="I29" s="11">
        <f t="shared" si="2"/>
        <v>1.7361111111111111E-5</v>
      </c>
      <c r="J29" s="8" t="s">
        <v>137</v>
      </c>
      <c r="K29" s="8">
        <v>2</v>
      </c>
      <c r="L29" s="8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12">
        <f t="shared" si="3"/>
        <v>2</v>
      </c>
    </row>
    <row r="30" spans="2:44" ht="37.5" customHeight="1">
      <c r="B30" s="811"/>
      <c r="C30" s="8">
        <f t="shared" si="5"/>
        <v>15</v>
      </c>
      <c r="D30" s="9" t="s">
        <v>75</v>
      </c>
      <c r="E30" s="8">
        <v>576</v>
      </c>
      <c r="F30" s="8" t="s">
        <v>42</v>
      </c>
      <c r="G30" s="8">
        <v>15</v>
      </c>
      <c r="H30" s="8" t="s">
        <v>58</v>
      </c>
      <c r="I30" s="11">
        <f t="shared" si="2"/>
        <v>5.2083333333333332E-6</v>
      </c>
      <c r="J30" s="8" t="s">
        <v>136</v>
      </c>
      <c r="K30" s="8"/>
      <c r="L30" s="8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12">
        <f t="shared" si="3"/>
        <v>0</v>
      </c>
    </row>
    <row r="31" spans="2:44" ht="37.5" customHeight="1">
      <c r="B31" s="811"/>
      <c r="C31" s="8">
        <f t="shared" si="5"/>
        <v>16</v>
      </c>
      <c r="D31" s="9" t="s">
        <v>143</v>
      </c>
      <c r="E31" s="8">
        <v>576</v>
      </c>
      <c r="F31" s="8" t="s">
        <v>42</v>
      </c>
      <c r="G31" s="8">
        <v>10</v>
      </c>
      <c r="H31" s="8" t="s">
        <v>58</v>
      </c>
      <c r="I31" s="11">
        <f t="shared" si="2"/>
        <v>3.4722222222222224E-6</v>
      </c>
      <c r="J31" s="8" t="s">
        <v>136</v>
      </c>
      <c r="K31" s="8">
        <v>20</v>
      </c>
      <c r="L31" s="8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12">
        <f t="shared" si="3"/>
        <v>20</v>
      </c>
    </row>
    <row r="32" spans="2:44" ht="37.5" customHeight="1">
      <c r="B32" s="811"/>
      <c r="C32" s="8">
        <f t="shared" si="5"/>
        <v>17</v>
      </c>
      <c r="D32" s="9" t="s">
        <v>144</v>
      </c>
      <c r="E32" s="8">
        <v>576</v>
      </c>
      <c r="F32" s="8" t="s">
        <v>42</v>
      </c>
      <c r="G32" s="8">
        <v>10</v>
      </c>
      <c r="H32" s="8" t="s">
        <v>58</v>
      </c>
      <c r="I32" s="11">
        <f t="shared" si="2"/>
        <v>3.4722222222222224E-6</v>
      </c>
      <c r="J32" s="8" t="s">
        <v>136</v>
      </c>
      <c r="K32" s="8">
        <v>0</v>
      </c>
      <c r="L32" s="8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12">
        <f t="shared" si="3"/>
        <v>0</v>
      </c>
    </row>
    <row r="33" spans="2:44" ht="37.5" customHeight="1">
      <c r="B33" s="811"/>
      <c r="C33" s="8">
        <f t="shared" si="5"/>
        <v>18</v>
      </c>
      <c r="D33" s="9" t="s">
        <v>76</v>
      </c>
      <c r="E33" s="8">
        <v>576</v>
      </c>
      <c r="F33" s="8" t="s">
        <v>42</v>
      </c>
      <c r="G33" s="8">
        <v>10</v>
      </c>
      <c r="H33" s="8" t="s">
        <v>58</v>
      </c>
      <c r="I33" s="11">
        <f t="shared" si="2"/>
        <v>3.4722222222222224E-6</v>
      </c>
      <c r="J33" s="8" t="s">
        <v>136</v>
      </c>
      <c r="K33" s="8"/>
      <c r="L33" s="8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12">
        <f t="shared" si="3"/>
        <v>0</v>
      </c>
    </row>
    <row r="34" spans="2:44" ht="37.5" customHeight="1">
      <c r="B34" s="811"/>
      <c r="C34" s="8">
        <f t="shared" si="5"/>
        <v>19</v>
      </c>
      <c r="D34" s="9" t="s">
        <v>138</v>
      </c>
      <c r="E34" s="8">
        <v>576</v>
      </c>
      <c r="F34" s="8" t="s">
        <v>42</v>
      </c>
      <c r="G34" s="8">
        <v>2</v>
      </c>
      <c r="H34" s="8" t="s">
        <v>58</v>
      </c>
      <c r="I34" s="11">
        <f t="shared" si="2"/>
        <v>6.9444444444444448E-7</v>
      </c>
      <c r="J34" s="8" t="s">
        <v>137</v>
      </c>
      <c r="K34" s="8">
        <v>24</v>
      </c>
      <c r="L34" s="8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12">
        <f t="shared" si="3"/>
        <v>24</v>
      </c>
    </row>
    <row r="35" spans="2:44" ht="37.5" customHeight="1">
      <c r="B35" s="811"/>
      <c r="C35" s="8">
        <f t="shared" si="5"/>
        <v>20</v>
      </c>
      <c r="D35" s="9" t="s">
        <v>77</v>
      </c>
      <c r="E35" s="8">
        <v>576</v>
      </c>
      <c r="F35" s="8" t="s">
        <v>42</v>
      </c>
      <c r="G35" s="8">
        <v>1</v>
      </c>
      <c r="H35" s="8" t="s">
        <v>58</v>
      </c>
      <c r="I35" s="11">
        <f t="shared" si="2"/>
        <v>3.4722222222222224E-7</v>
      </c>
      <c r="J35" s="8" t="s">
        <v>137</v>
      </c>
      <c r="K35" s="8"/>
      <c r="L35" s="8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12">
        <f t="shared" si="3"/>
        <v>0</v>
      </c>
    </row>
    <row r="36" spans="2:44" ht="36.75" customHeight="1">
      <c r="B36" s="811"/>
      <c r="C36" s="8">
        <f t="shared" si="5"/>
        <v>21</v>
      </c>
      <c r="D36" s="9" t="s">
        <v>78</v>
      </c>
      <c r="E36" s="8">
        <v>576</v>
      </c>
      <c r="F36" s="8" t="s">
        <v>42</v>
      </c>
      <c r="G36" s="8">
        <v>1</v>
      </c>
      <c r="H36" s="8" t="s">
        <v>58</v>
      </c>
      <c r="I36" s="11">
        <f t="shared" si="2"/>
        <v>3.4722222222222224E-7</v>
      </c>
      <c r="J36" s="8" t="s">
        <v>136</v>
      </c>
      <c r="K36" s="8"/>
      <c r="L36" s="8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12">
        <f t="shared" si="3"/>
        <v>0</v>
      </c>
    </row>
    <row r="37" spans="2:44" ht="36.75" customHeight="1">
      <c r="B37" s="811" t="s">
        <v>79</v>
      </c>
      <c r="C37" s="8">
        <v>1</v>
      </c>
      <c r="D37" s="9" t="s">
        <v>140</v>
      </c>
      <c r="E37" s="8">
        <v>576</v>
      </c>
      <c r="F37" s="8" t="s">
        <v>42</v>
      </c>
      <c r="G37" s="8">
        <v>10</v>
      </c>
      <c r="H37" s="8" t="s">
        <v>58</v>
      </c>
      <c r="I37" s="11">
        <f t="shared" si="2"/>
        <v>3.4722222222222224E-6</v>
      </c>
      <c r="J37" s="8" t="s">
        <v>136</v>
      </c>
      <c r="K37" s="8">
        <v>21</v>
      </c>
      <c r="L37" s="8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12">
        <f t="shared" si="3"/>
        <v>21</v>
      </c>
    </row>
    <row r="38" spans="2:44" ht="36.75" customHeight="1">
      <c r="B38" s="811"/>
      <c r="C38" s="8">
        <f>C37+1</f>
        <v>2</v>
      </c>
      <c r="D38" s="9" t="s">
        <v>141</v>
      </c>
      <c r="E38" s="8">
        <v>576</v>
      </c>
      <c r="F38" s="8" t="s">
        <v>42</v>
      </c>
      <c r="G38" s="8">
        <v>10</v>
      </c>
      <c r="H38" s="8" t="s">
        <v>58</v>
      </c>
      <c r="I38" s="11">
        <f t="shared" si="2"/>
        <v>3.4722222222222224E-6</v>
      </c>
      <c r="J38" s="8" t="s">
        <v>136</v>
      </c>
      <c r="K38" s="8">
        <v>37</v>
      </c>
      <c r="L38" s="8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12">
        <f t="shared" si="3"/>
        <v>37</v>
      </c>
    </row>
    <row r="39" spans="2:44" ht="36.75" customHeight="1">
      <c r="B39" s="811"/>
      <c r="C39" s="8">
        <f t="shared" ref="C39:C41" si="6">C38+1</f>
        <v>3</v>
      </c>
      <c r="D39" s="9" t="s">
        <v>142</v>
      </c>
      <c r="E39" s="8">
        <v>576</v>
      </c>
      <c r="F39" s="8" t="s">
        <v>42</v>
      </c>
      <c r="G39" s="8">
        <v>10</v>
      </c>
      <c r="H39" s="8" t="s">
        <v>58</v>
      </c>
      <c r="I39" s="11">
        <f t="shared" si="2"/>
        <v>3.4722222222222224E-6</v>
      </c>
      <c r="J39" s="8" t="s">
        <v>136</v>
      </c>
      <c r="K39" s="8">
        <v>50</v>
      </c>
      <c r="L39" s="8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12">
        <f t="shared" si="3"/>
        <v>50</v>
      </c>
    </row>
    <row r="40" spans="2:44" ht="36.75" customHeight="1">
      <c r="B40" s="811"/>
      <c r="C40" s="8">
        <f t="shared" si="6"/>
        <v>4</v>
      </c>
      <c r="D40" s="9" t="s">
        <v>80</v>
      </c>
      <c r="E40" s="8">
        <v>576</v>
      </c>
      <c r="F40" s="8" t="s">
        <v>42</v>
      </c>
      <c r="G40" s="8">
        <v>1</v>
      </c>
      <c r="H40" s="8" t="s">
        <v>58</v>
      </c>
      <c r="I40" s="11">
        <f t="shared" si="2"/>
        <v>3.4722222222222224E-7</v>
      </c>
      <c r="J40" s="8" t="s">
        <v>136</v>
      </c>
      <c r="K40" s="8"/>
      <c r="L40" s="8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12">
        <f t="shared" si="3"/>
        <v>0</v>
      </c>
    </row>
    <row r="41" spans="2:44" ht="36.75" customHeight="1">
      <c r="B41" s="811"/>
      <c r="C41" s="8">
        <f t="shared" si="6"/>
        <v>5</v>
      </c>
      <c r="D41" s="9" t="s">
        <v>81</v>
      </c>
      <c r="E41" s="8">
        <v>576</v>
      </c>
      <c r="F41" s="8" t="s">
        <v>42</v>
      </c>
      <c r="G41" s="8">
        <v>1</v>
      </c>
      <c r="H41" s="8" t="s">
        <v>58</v>
      </c>
      <c r="I41" s="11">
        <f t="shared" si="2"/>
        <v>3.4722222222222224E-7</v>
      </c>
      <c r="J41" s="8" t="s">
        <v>136</v>
      </c>
      <c r="K41" s="8"/>
      <c r="L41" s="8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12">
        <f t="shared" si="3"/>
        <v>0</v>
      </c>
    </row>
    <row r="42" spans="2:44" ht="36.75" customHeight="1">
      <c r="B42" s="811"/>
      <c r="C42" s="8">
        <f t="shared" ref="C42:C46" si="7">C41+1</f>
        <v>6</v>
      </c>
      <c r="D42" s="9" t="s">
        <v>82</v>
      </c>
      <c r="E42" s="8">
        <v>576</v>
      </c>
      <c r="F42" s="8" t="s">
        <v>42</v>
      </c>
      <c r="G42" s="8">
        <v>10</v>
      </c>
      <c r="H42" s="8" t="s">
        <v>58</v>
      </c>
      <c r="I42" s="11">
        <f t="shared" si="2"/>
        <v>3.4722222222222224E-6</v>
      </c>
      <c r="J42" s="8" t="s">
        <v>137</v>
      </c>
      <c r="K42" s="8"/>
      <c r="L42" s="8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12">
        <f t="shared" si="3"/>
        <v>0</v>
      </c>
    </row>
    <row r="43" spans="2:44" ht="36.75" customHeight="1">
      <c r="B43" s="811"/>
      <c r="C43" s="8">
        <f t="shared" si="7"/>
        <v>7</v>
      </c>
      <c r="D43" s="9" t="s">
        <v>83</v>
      </c>
      <c r="E43" s="8">
        <v>576</v>
      </c>
      <c r="F43" s="8" t="s">
        <v>42</v>
      </c>
      <c r="G43" s="8">
        <v>50</v>
      </c>
      <c r="H43" s="8" t="s">
        <v>58</v>
      </c>
      <c r="I43" s="11">
        <f t="shared" si="2"/>
        <v>1.7361111111111111E-5</v>
      </c>
      <c r="J43" s="8" t="s">
        <v>137</v>
      </c>
      <c r="K43" s="8"/>
      <c r="L43" s="8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12">
        <f t="shared" si="3"/>
        <v>0</v>
      </c>
    </row>
    <row r="44" spans="2:44" ht="36.75" customHeight="1">
      <c r="B44" s="811"/>
      <c r="C44" s="8">
        <f t="shared" si="7"/>
        <v>8</v>
      </c>
      <c r="D44" s="9" t="s">
        <v>84</v>
      </c>
      <c r="E44" s="8">
        <v>576</v>
      </c>
      <c r="F44" s="8" t="s">
        <v>42</v>
      </c>
      <c r="G44" s="8">
        <v>0.5</v>
      </c>
      <c r="H44" s="8" t="s">
        <v>85</v>
      </c>
      <c r="I44" s="11">
        <f t="shared" si="2"/>
        <v>1.7361111111111112E-7</v>
      </c>
      <c r="J44" s="8" t="s">
        <v>136</v>
      </c>
      <c r="K44" s="8"/>
      <c r="L44" s="8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12">
        <f t="shared" si="3"/>
        <v>0</v>
      </c>
    </row>
    <row r="45" spans="2:44" ht="36.75" customHeight="1">
      <c r="B45" s="811"/>
      <c r="C45" s="8">
        <f t="shared" si="7"/>
        <v>9</v>
      </c>
      <c r="D45" s="9" t="s">
        <v>86</v>
      </c>
      <c r="E45" s="8">
        <v>576</v>
      </c>
      <c r="F45" s="8" t="s">
        <v>42</v>
      </c>
      <c r="G45" s="8">
        <v>1</v>
      </c>
      <c r="H45" s="8" t="s">
        <v>87</v>
      </c>
      <c r="I45" s="11">
        <f t="shared" si="2"/>
        <v>3.4722222222222224E-7</v>
      </c>
      <c r="J45" s="8" t="s">
        <v>136</v>
      </c>
      <c r="K45" s="8"/>
      <c r="L45" s="8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12">
        <f t="shared" si="3"/>
        <v>0</v>
      </c>
    </row>
    <row r="46" spans="2:44" ht="36.75" customHeight="1">
      <c r="B46" s="811"/>
      <c r="C46" s="8">
        <f t="shared" si="7"/>
        <v>10</v>
      </c>
      <c r="D46" s="9" t="s">
        <v>88</v>
      </c>
      <c r="E46" s="8">
        <v>576</v>
      </c>
      <c r="F46" s="8" t="s">
        <v>42</v>
      </c>
      <c r="G46" s="8">
        <v>2</v>
      </c>
      <c r="H46" s="8" t="s">
        <v>89</v>
      </c>
      <c r="I46" s="11">
        <f t="shared" si="2"/>
        <v>6.9444444444444448E-7</v>
      </c>
      <c r="J46" s="8" t="s">
        <v>136</v>
      </c>
      <c r="K46" s="8"/>
      <c r="L46" s="8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12">
        <f t="shared" si="3"/>
        <v>0</v>
      </c>
    </row>
    <row r="47" spans="2:44" ht="34.5" customHeight="1">
      <c r="D47" s="109"/>
    </row>
  </sheetData>
  <mergeCells count="20">
    <mergeCell ref="B16:B36"/>
    <mergeCell ref="B37:B46"/>
    <mergeCell ref="B4:B5"/>
    <mergeCell ref="C4:C5"/>
    <mergeCell ref="D4:D5"/>
    <mergeCell ref="B6:B15"/>
    <mergeCell ref="M2:AQ3"/>
    <mergeCell ref="AR2:AR5"/>
    <mergeCell ref="B1:AR1"/>
    <mergeCell ref="L4:L5"/>
    <mergeCell ref="K4:K5"/>
    <mergeCell ref="K2:L3"/>
    <mergeCell ref="B2:C2"/>
    <mergeCell ref="F2:G2"/>
    <mergeCell ref="H2:J3"/>
    <mergeCell ref="B3:C3"/>
    <mergeCell ref="I4:I5"/>
    <mergeCell ref="J4:J5"/>
    <mergeCell ref="E4:G4"/>
    <mergeCell ref="H4:H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N13"/>
  <sheetViews>
    <sheetView zoomScale="55" zoomScaleNormal="55" workbookViewId="0">
      <selection activeCell="P9" sqref="P9"/>
    </sheetView>
  </sheetViews>
  <sheetFormatPr defaultColWidth="9.140625" defaultRowHeight="19.5"/>
  <cols>
    <col min="1" max="1" width="9.140625" style="15"/>
    <col min="2" max="2" width="37.85546875" style="15" customWidth="1"/>
    <col min="3" max="3" width="25.85546875" style="15" customWidth="1"/>
    <col min="4" max="19" width="9.140625" style="15"/>
    <col min="20" max="21" width="10.140625" style="15" customWidth="1"/>
    <col min="22" max="33" width="9.140625" style="15" customWidth="1"/>
    <col min="34" max="34" width="9.140625" style="15"/>
    <col min="35" max="37" width="0" style="15" hidden="1" customWidth="1"/>
    <col min="38" max="38" width="12.140625" style="15" hidden="1" customWidth="1"/>
    <col min="39" max="39" width="17.7109375" style="15" customWidth="1"/>
    <col min="40" max="40" width="24" style="15" customWidth="1"/>
    <col min="41" max="16384" width="9.140625" style="15"/>
  </cols>
  <sheetData>
    <row r="2" spans="1:40">
      <c r="A2" s="820"/>
      <c r="B2" s="821"/>
      <c r="C2" s="821"/>
      <c r="D2" s="821"/>
      <c r="E2" s="821"/>
      <c r="F2" s="821"/>
      <c r="G2" s="821"/>
      <c r="H2" s="821"/>
      <c r="I2" s="821"/>
      <c r="J2" s="821"/>
      <c r="K2" s="821"/>
      <c r="L2" s="821"/>
      <c r="M2" s="821"/>
      <c r="N2" s="821"/>
      <c r="O2" s="821"/>
      <c r="P2" s="821"/>
      <c r="Q2" s="821"/>
      <c r="R2" s="821"/>
      <c r="S2" s="821"/>
      <c r="T2" s="821"/>
      <c r="U2" s="821"/>
      <c r="V2" s="821"/>
      <c r="W2" s="821"/>
      <c r="X2" s="821"/>
      <c r="Y2" s="821"/>
      <c r="Z2" s="821"/>
      <c r="AA2" s="821"/>
      <c r="AB2" s="821"/>
      <c r="AC2" s="821"/>
      <c r="AD2" s="821"/>
      <c r="AE2" s="821"/>
      <c r="AF2" s="821"/>
      <c r="AG2" s="821"/>
      <c r="AH2" s="821"/>
      <c r="AI2" s="821"/>
      <c r="AJ2" s="821"/>
      <c r="AK2" s="821"/>
      <c r="AL2" s="821"/>
      <c r="AM2" s="821"/>
    </row>
    <row r="3" spans="1:40" ht="34.5" customHeight="1">
      <c r="A3" s="822" t="s">
        <v>34</v>
      </c>
      <c r="B3" s="822" t="s">
        <v>90</v>
      </c>
      <c r="C3" s="822"/>
      <c r="D3" s="822" t="s">
        <v>153</v>
      </c>
      <c r="E3" s="822"/>
      <c r="F3" s="822"/>
      <c r="G3" s="822"/>
      <c r="H3" s="822"/>
      <c r="I3" s="822"/>
      <c r="J3" s="822"/>
      <c r="K3" s="822"/>
      <c r="L3" s="822"/>
      <c r="M3" s="822"/>
      <c r="N3" s="822"/>
      <c r="O3" s="822"/>
      <c r="P3" s="822"/>
      <c r="Q3" s="822"/>
      <c r="R3" s="822"/>
      <c r="S3" s="822"/>
      <c r="T3" s="822"/>
      <c r="U3" s="822"/>
      <c r="V3" s="822"/>
      <c r="W3" s="822"/>
      <c r="X3" s="822"/>
      <c r="Y3" s="822"/>
      <c r="Z3" s="822"/>
      <c r="AA3" s="822"/>
      <c r="AB3" s="822"/>
      <c r="AC3" s="822"/>
      <c r="AD3" s="822"/>
      <c r="AE3" s="822"/>
      <c r="AF3" s="822"/>
      <c r="AG3" s="822"/>
      <c r="AH3" s="822"/>
      <c r="AI3" s="823" t="s">
        <v>91</v>
      </c>
      <c r="AJ3" s="824"/>
      <c r="AK3" s="824"/>
      <c r="AL3" s="824"/>
      <c r="AM3" s="825"/>
      <c r="AN3" s="819" t="s">
        <v>10</v>
      </c>
    </row>
    <row r="4" spans="1:40" ht="34.5" customHeight="1">
      <c r="A4" s="822"/>
      <c r="B4" s="16" t="s">
        <v>92</v>
      </c>
      <c r="C4" s="16" t="s">
        <v>28</v>
      </c>
      <c r="D4" s="17">
        <v>1</v>
      </c>
      <c r="E4" s="16">
        <f>D4+1</f>
        <v>2</v>
      </c>
      <c r="F4" s="16">
        <f t="shared" ref="F4:AH4" si="0">E4+1</f>
        <v>3</v>
      </c>
      <c r="G4" s="16">
        <f t="shared" si="0"/>
        <v>4</v>
      </c>
      <c r="H4" s="16">
        <f t="shared" si="0"/>
        <v>5</v>
      </c>
      <c r="I4" s="16">
        <f t="shared" si="0"/>
        <v>6</v>
      </c>
      <c r="J4" s="16">
        <f t="shared" si="0"/>
        <v>7</v>
      </c>
      <c r="K4" s="16">
        <f t="shared" si="0"/>
        <v>8</v>
      </c>
      <c r="L4" s="16">
        <f t="shared" si="0"/>
        <v>9</v>
      </c>
      <c r="M4" s="16">
        <f t="shared" si="0"/>
        <v>10</v>
      </c>
      <c r="N4" s="16">
        <f t="shared" si="0"/>
        <v>11</v>
      </c>
      <c r="O4" s="16">
        <f t="shared" si="0"/>
        <v>12</v>
      </c>
      <c r="P4" s="16">
        <f t="shared" si="0"/>
        <v>13</v>
      </c>
      <c r="Q4" s="16">
        <f t="shared" si="0"/>
        <v>14</v>
      </c>
      <c r="R4" s="16">
        <f t="shared" si="0"/>
        <v>15</v>
      </c>
      <c r="S4" s="16">
        <f t="shared" si="0"/>
        <v>16</v>
      </c>
      <c r="T4" s="16">
        <f t="shared" si="0"/>
        <v>17</v>
      </c>
      <c r="U4" s="16">
        <f t="shared" si="0"/>
        <v>18</v>
      </c>
      <c r="V4" s="16">
        <f t="shared" si="0"/>
        <v>19</v>
      </c>
      <c r="W4" s="16">
        <f t="shared" si="0"/>
        <v>20</v>
      </c>
      <c r="X4" s="16">
        <f t="shared" si="0"/>
        <v>21</v>
      </c>
      <c r="Y4" s="16">
        <f t="shared" si="0"/>
        <v>22</v>
      </c>
      <c r="Z4" s="16">
        <f t="shared" si="0"/>
        <v>23</v>
      </c>
      <c r="AA4" s="16">
        <f t="shared" si="0"/>
        <v>24</v>
      </c>
      <c r="AB4" s="16">
        <f t="shared" si="0"/>
        <v>25</v>
      </c>
      <c r="AC4" s="16">
        <f t="shared" si="0"/>
        <v>26</v>
      </c>
      <c r="AD4" s="16">
        <f t="shared" si="0"/>
        <v>27</v>
      </c>
      <c r="AE4" s="16">
        <f t="shared" si="0"/>
        <v>28</v>
      </c>
      <c r="AF4" s="16">
        <f t="shared" si="0"/>
        <v>29</v>
      </c>
      <c r="AG4" s="16">
        <f t="shared" si="0"/>
        <v>30</v>
      </c>
      <c r="AH4" s="16">
        <f t="shared" si="0"/>
        <v>31</v>
      </c>
      <c r="AI4" s="826"/>
      <c r="AJ4" s="827"/>
      <c r="AK4" s="827"/>
      <c r="AL4" s="827"/>
      <c r="AM4" s="828"/>
      <c r="AN4" s="819"/>
    </row>
    <row r="5" spans="1:40" ht="29.25" customHeight="1">
      <c r="A5" s="18">
        <v>1</v>
      </c>
      <c r="B5" s="19" t="s">
        <v>41</v>
      </c>
      <c r="C5" s="20" t="s">
        <v>49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 t="e">
        <f>+AM5*'KH - THEO DÕI LÒ'!#REF!</f>
        <v>#REF!</v>
      </c>
      <c r="Q5" s="21">
        <f>+AM5*'KH - THEO DÕI LÒ'!$K$43</f>
        <v>0</v>
      </c>
      <c r="R5" s="21" t="e">
        <f>+AM5*'KH - THEO DÕI LÒ'!#REF!</f>
        <v>#REF!</v>
      </c>
      <c r="S5" s="21" t="e">
        <f>+AM5*SUM('KH - THEO DÕI LÒ'!#REF!)</f>
        <v>#REF!</v>
      </c>
      <c r="T5" s="21" t="e">
        <f>+AM5*SUM('KH - THEO DÕI LÒ'!#REF!)</f>
        <v>#REF!</v>
      </c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18">
        <f t="array" ref="AI5:AK13">'ĐỊNH MỨC VT LÒ'!E6:G14</f>
        <v>576</v>
      </c>
      <c r="AJ5" s="18" t="str">
        <v>Giờ</v>
      </c>
      <c r="AK5" s="18">
        <v>10</v>
      </c>
      <c r="AL5" s="18" t="str">
        <f t="array" ref="AL5:AL13">'ĐỊNH MỨC VT LÒ'!H6:H14</f>
        <v>Cuộn</v>
      </c>
      <c r="AM5" s="23">
        <f t="array" ref="AM5:AM13">'ĐỊNH MỨC VT LÒ'!I6:I14</f>
        <v>3.4722222222222224E-6</v>
      </c>
      <c r="AN5" s="25" t="e">
        <f>SUM(D5:AH5)</f>
        <v>#REF!</v>
      </c>
    </row>
    <row r="6" spans="1:40" ht="29.25" customHeight="1">
      <c r="A6" s="22">
        <f>A5+1</f>
        <v>2</v>
      </c>
      <c r="B6" s="26" t="s">
        <v>44</v>
      </c>
      <c r="C6" s="8" t="s">
        <v>49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 t="e">
        <f>+AM6*'KH - THEO DÕI LÒ'!#REF!</f>
        <v>#REF!</v>
      </c>
      <c r="Q6" s="21">
        <f>+AM6*'KH - THEO DÕI LÒ'!$K$43</f>
        <v>0</v>
      </c>
      <c r="R6" s="21" t="e">
        <f>+AM6*'KH - THEO DÕI LÒ'!#REF!</f>
        <v>#REF!</v>
      </c>
      <c r="S6" s="21" t="e">
        <f>+AM6*SUM('KH - THEO DÕI LÒ'!#REF!)</f>
        <v>#REF!</v>
      </c>
      <c r="T6" s="21" t="e">
        <f>+AM6*SUM('KH - THEO DÕI LÒ'!#REF!)</f>
        <v>#REF!</v>
      </c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2">
        <v>576</v>
      </c>
      <c r="AJ6" s="22" t="str">
        <v>Giờ</v>
      </c>
      <c r="AK6" s="22">
        <v>60</v>
      </c>
      <c r="AL6" s="22" t="str">
        <v>Cục</v>
      </c>
      <c r="AM6" s="24">
        <v>2.0833333333333333E-5</v>
      </c>
      <c r="AN6" s="25" t="e">
        <f t="shared" ref="AN6:AN13" si="1">SUM(D6:AH6)</f>
        <v>#REF!</v>
      </c>
    </row>
    <row r="7" spans="1:40" ht="29.25" customHeight="1">
      <c r="A7" s="18">
        <f t="shared" ref="A7:A13" si="2">A6+1</f>
        <v>3</v>
      </c>
      <c r="B7" s="19" t="s">
        <v>46</v>
      </c>
      <c r="C7" s="27" t="s">
        <v>49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 t="e">
        <f>+AM7*'KH - THEO DÕI LÒ'!#REF!</f>
        <v>#REF!</v>
      </c>
      <c r="Q7" s="21">
        <f>+AM7*'KH - THEO DÕI LÒ'!$K$43</f>
        <v>0</v>
      </c>
      <c r="R7" s="21" t="e">
        <f>+AM7*'KH - THEO DÕI LÒ'!#REF!</f>
        <v>#REF!</v>
      </c>
      <c r="S7" s="21" t="e">
        <f>+AM7*SUM('KH - THEO DÕI LÒ'!#REF!)</f>
        <v>#REF!</v>
      </c>
      <c r="T7" s="21" t="e">
        <f>+AM7*SUM('KH - THEO DÕI LÒ'!#REF!)</f>
        <v>#REF!</v>
      </c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18">
        <v>2880</v>
      </c>
      <c r="AJ7" s="18" t="str">
        <v>Giờ</v>
      </c>
      <c r="AK7" s="18">
        <v>30</v>
      </c>
      <c r="AL7" s="18" t="str">
        <v>Tấm</v>
      </c>
      <c r="AM7" s="23">
        <v>2.0833333333333334E-6</v>
      </c>
      <c r="AN7" s="25" t="e">
        <f t="shared" si="1"/>
        <v>#REF!</v>
      </c>
    </row>
    <row r="8" spans="1:40" ht="29.25" customHeight="1">
      <c r="A8" s="22">
        <f t="shared" si="2"/>
        <v>4</v>
      </c>
      <c r="B8" s="26" t="s">
        <v>48</v>
      </c>
      <c r="C8" s="8" t="s">
        <v>49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 t="e">
        <f>+AM8*'KH - THEO DÕI LÒ'!#REF!</f>
        <v>#REF!</v>
      </c>
      <c r="Q8" s="21">
        <f>+AM8*'KH - THEO DÕI LÒ'!$K$43</f>
        <v>0</v>
      </c>
      <c r="R8" s="21" t="e">
        <f>+AM8*'KH - THEO DÕI LÒ'!#REF!</f>
        <v>#REF!</v>
      </c>
      <c r="S8" s="21" t="e">
        <f>+AM8*SUM('KH - THEO DÕI LÒ'!#REF!)</f>
        <v>#REF!</v>
      </c>
      <c r="T8" s="21" t="e">
        <f>+AM8*SUM('KH - THEO DÕI LÒ'!#REF!)</f>
        <v>#REF!</v>
      </c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2">
        <v>2880</v>
      </c>
      <c r="AJ8" s="22" t="str">
        <v>Giờ</v>
      </c>
      <c r="AK8" s="22">
        <v>144</v>
      </c>
      <c r="AL8" s="22" t="str">
        <v>Viên</v>
      </c>
      <c r="AM8" s="24">
        <v>1.0000000000000001E-5</v>
      </c>
      <c r="AN8" s="25" t="e">
        <f t="shared" si="1"/>
        <v>#REF!</v>
      </c>
    </row>
    <row r="9" spans="1:40" ht="29.25" customHeight="1">
      <c r="A9" s="18">
        <f t="shared" si="2"/>
        <v>5</v>
      </c>
      <c r="B9" s="19" t="s">
        <v>50</v>
      </c>
      <c r="C9" s="27" t="s">
        <v>49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 t="e">
        <f>+AM9*'KH - THEO DÕI LÒ'!#REF!</f>
        <v>#REF!</v>
      </c>
      <c r="Q9" s="21">
        <f>+AM9*'KH - THEO DÕI LÒ'!$K$43</f>
        <v>0</v>
      </c>
      <c r="R9" s="21" t="e">
        <f>+AM9*'KH - THEO DÕI LÒ'!#REF!</f>
        <v>#REF!</v>
      </c>
      <c r="S9" s="21" t="e">
        <f>+AM9*SUM('KH - THEO DÕI LÒ'!#REF!)</f>
        <v>#REF!</v>
      </c>
      <c r="T9" s="21" t="e">
        <f>+AM9*SUM('KH - THEO DÕI LÒ'!#REF!)</f>
        <v>#REF!</v>
      </c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18">
        <v>2880</v>
      </c>
      <c r="AJ9" s="18" t="str">
        <v>Giờ</v>
      </c>
      <c r="AK9" s="18">
        <v>215</v>
      </c>
      <c r="AL9" s="18" t="str">
        <v>Viên</v>
      </c>
      <c r="AM9" s="23">
        <v>1.4930555555555555E-5</v>
      </c>
      <c r="AN9" s="25" t="e">
        <f t="shared" si="1"/>
        <v>#REF!</v>
      </c>
    </row>
    <row r="10" spans="1:40" ht="29.25" customHeight="1">
      <c r="A10" s="22">
        <f t="shared" si="2"/>
        <v>6</v>
      </c>
      <c r="B10" s="26" t="s">
        <v>51</v>
      </c>
      <c r="C10" s="8" t="s">
        <v>49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 t="e">
        <f>+AM10*'KH - THEO DÕI LÒ'!#REF!</f>
        <v>#REF!</v>
      </c>
      <c r="Q10" s="21">
        <f>+AM10*'KH - THEO DÕI LÒ'!$K$43</f>
        <v>0</v>
      </c>
      <c r="R10" s="21" t="e">
        <f>+AM10*'KH - THEO DÕI LÒ'!#REF!</f>
        <v>#REF!</v>
      </c>
      <c r="S10" s="21" t="e">
        <f>+AM10*SUM('KH - THEO DÕI LÒ'!#REF!)</f>
        <v>#REF!</v>
      </c>
      <c r="T10" s="21" t="e">
        <f>+AM10*SUM('KH - THEO DÕI LÒ'!#REF!)</f>
        <v>#REF!</v>
      </c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2">
        <v>2880</v>
      </c>
      <c r="AJ10" s="22" t="str">
        <v>Giờ</v>
      </c>
      <c r="AK10" s="22">
        <v>150</v>
      </c>
      <c r="AL10" s="22" t="str">
        <v>Viên</v>
      </c>
      <c r="AM10" s="24">
        <v>1.0416666666666666E-5</v>
      </c>
      <c r="AN10" s="25" t="e">
        <f t="shared" si="1"/>
        <v>#REF!</v>
      </c>
    </row>
    <row r="11" spans="1:40" ht="29.25" customHeight="1">
      <c r="A11" s="18">
        <f t="shared" si="2"/>
        <v>7</v>
      </c>
      <c r="B11" s="19" t="s">
        <v>52</v>
      </c>
      <c r="C11" s="27" t="s">
        <v>49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 t="e">
        <f>+AM11*'KH - THEO DÕI LÒ'!#REF!</f>
        <v>#REF!</v>
      </c>
      <c r="Q11" s="21">
        <f>+AM11*'KH - THEO DÕI LÒ'!$K$43</f>
        <v>0</v>
      </c>
      <c r="R11" s="21" t="e">
        <f>+AM11*'KH - THEO DÕI LÒ'!#REF!</f>
        <v>#REF!</v>
      </c>
      <c r="S11" s="21" t="e">
        <f>+AM11*SUM('KH - THEO DÕI LÒ'!#REF!)</f>
        <v>#REF!</v>
      </c>
      <c r="T11" s="21" t="e">
        <f>+AM11*SUM('KH - THEO DÕI LÒ'!#REF!)</f>
        <v>#REF!</v>
      </c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18">
        <v>2880</v>
      </c>
      <c r="AJ11" s="18" t="str">
        <v>Giờ</v>
      </c>
      <c r="AK11" s="18">
        <v>975</v>
      </c>
      <c r="AL11" s="18" t="str">
        <v>Viên</v>
      </c>
      <c r="AM11" s="23">
        <v>6.770833333333333E-5</v>
      </c>
      <c r="AN11" s="25" t="e">
        <f t="shared" si="1"/>
        <v>#REF!</v>
      </c>
    </row>
    <row r="12" spans="1:40" ht="29.25" customHeight="1">
      <c r="A12" s="22">
        <f t="shared" si="2"/>
        <v>8</v>
      </c>
      <c r="B12" s="26" t="s">
        <v>53</v>
      </c>
      <c r="C12" s="8" t="s">
        <v>54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 t="e">
        <f>+AM12*'KH - THEO DÕI LÒ'!#REF!</f>
        <v>#REF!</v>
      </c>
      <c r="Q12" s="21">
        <f>+AM12*'KH - THEO DÕI LÒ'!$K$43</f>
        <v>0</v>
      </c>
      <c r="R12" s="21" t="e">
        <f>+AM12*'KH - THEO DÕI LÒ'!#REF!</f>
        <v>#REF!</v>
      </c>
      <c r="S12" s="21" t="e">
        <f>+AM12*SUM('KH - THEO DÕI LÒ'!#REF!)</f>
        <v>#REF!</v>
      </c>
      <c r="T12" s="21" t="e">
        <f>+AM12*SUM('KH - THEO DÕI LÒ'!#REF!)</f>
        <v>#REF!</v>
      </c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2">
        <v>2880</v>
      </c>
      <c r="AJ12" s="22" t="str">
        <v>Giờ</v>
      </c>
      <c r="AK12" s="22">
        <v>2700</v>
      </c>
      <c r="AL12" s="22" t="str">
        <v>Kg</v>
      </c>
      <c r="AM12" s="24">
        <v>1.875E-4</v>
      </c>
      <c r="AN12" s="25" t="e">
        <f t="shared" si="1"/>
        <v>#REF!</v>
      </c>
    </row>
    <row r="13" spans="1:40" ht="29.25" customHeight="1">
      <c r="A13" s="18">
        <f t="shared" si="2"/>
        <v>9</v>
      </c>
      <c r="B13" s="19" t="s">
        <v>55</v>
      </c>
      <c r="C13" s="27" t="s">
        <v>54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 t="e">
        <f>+AM13*'KH - THEO DÕI LÒ'!#REF!</f>
        <v>#REF!</v>
      </c>
      <c r="Q13" s="21">
        <f>+AM13*'KH - THEO DÕI LÒ'!$K$43</f>
        <v>0</v>
      </c>
      <c r="R13" s="21" t="e">
        <f>+AM13*'KH - THEO DÕI LÒ'!#REF!</f>
        <v>#REF!</v>
      </c>
      <c r="S13" s="21" t="e">
        <f>+AM13*SUM('KH - THEO DÕI LÒ'!#REF!)</f>
        <v>#REF!</v>
      </c>
      <c r="T13" s="21" t="e">
        <f>+AM13*SUM('KH - THEO DÕI LÒ'!#REF!)</f>
        <v>#REF!</v>
      </c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18">
        <v>2880</v>
      </c>
      <c r="AJ13" s="18" t="str">
        <v>Giờ</v>
      </c>
      <c r="AK13" s="18">
        <v>1000</v>
      </c>
      <c r="AL13" s="18" t="str">
        <v>Kg</v>
      </c>
      <c r="AM13" s="23">
        <v>6.9444444444444444E-5</v>
      </c>
      <c r="AN13" s="25" t="e">
        <f t="shared" si="1"/>
        <v>#REF!</v>
      </c>
    </row>
  </sheetData>
  <mergeCells count="6">
    <mergeCell ref="AN3:AN4"/>
    <mergeCell ref="A2:AM2"/>
    <mergeCell ref="A3:A4"/>
    <mergeCell ref="B3:C3"/>
    <mergeCell ref="D3:AH3"/>
    <mergeCell ref="AI3:AM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N41"/>
  <sheetViews>
    <sheetView showGridLines="0" topLeftCell="A4" zoomScale="85" zoomScaleNormal="85" workbookViewId="0">
      <selection activeCell="F32" sqref="F32"/>
    </sheetView>
  </sheetViews>
  <sheetFormatPr defaultRowHeight="15"/>
  <cols>
    <col min="1" max="1" width="2.85546875" customWidth="1"/>
    <col min="2" max="2" width="5.5703125" customWidth="1"/>
    <col min="3" max="3" width="12.7109375" customWidth="1"/>
    <col min="4" max="4" width="16.42578125" customWidth="1"/>
    <col min="5" max="5" width="18.42578125" customWidth="1"/>
    <col min="6" max="6" width="15.140625" customWidth="1"/>
    <col min="8" max="8" width="13.85546875" customWidth="1"/>
    <col min="9" max="9" width="12.7109375" customWidth="1"/>
    <col min="10" max="11" width="14.140625" customWidth="1"/>
    <col min="12" max="12" width="16" customWidth="1"/>
    <col min="13" max="13" width="16.42578125" customWidth="1"/>
    <col min="14" max="14" width="2.7109375" customWidth="1"/>
    <col min="16" max="16" width="12.5703125" customWidth="1"/>
  </cols>
  <sheetData>
    <row r="1" spans="1:14" ht="15.75" thickBot="1">
      <c r="A1" s="28"/>
      <c r="B1" s="29"/>
      <c r="C1" s="29"/>
      <c r="D1" s="29"/>
      <c r="E1" s="30"/>
      <c r="F1" s="30"/>
      <c r="G1" s="31"/>
      <c r="H1" s="29"/>
      <c r="I1" s="32"/>
      <c r="J1" s="29"/>
      <c r="K1" s="33"/>
      <c r="L1" s="29"/>
      <c r="M1" s="29"/>
      <c r="N1" s="34"/>
    </row>
    <row r="2" spans="1:14" ht="15.75" thickBot="1">
      <c r="A2" s="35"/>
      <c r="B2" s="834"/>
      <c r="C2" s="835"/>
      <c r="D2" s="838" t="s">
        <v>159</v>
      </c>
      <c r="E2" s="839"/>
      <c r="F2" s="839"/>
      <c r="G2" s="839"/>
      <c r="H2" s="839"/>
      <c r="I2" s="839"/>
      <c r="J2" s="839"/>
      <c r="K2" s="839"/>
      <c r="L2" s="840"/>
      <c r="M2" s="36" t="s">
        <v>93</v>
      </c>
      <c r="N2" s="37"/>
    </row>
    <row r="3" spans="1:14" ht="22.5" customHeight="1" thickBot="1">
      <c r="A3" s="35"/>
      <c r="B3" s="836"/>
      <c r="C3" s="837"/>
      <c r="D3" s="841"/>
      <c r="E3" s="842"/>
      <c r="F3" s="842"/>
      <c r="G3" s="842"/>
      <c r="H3" s="842"/>
      <c r="I3" s="842"/>
      <c r="J3" s="842"/>
      <c r="K3" s="842"/>
      <c r="L3" s="843"/>
      <c r="M3" s="38"/>
      <c r="N3" s="37"/>
    </row>
    <row r="4" spans="1:14" ht="14.25" customHeight="1" thickBot="1">
      <c r="A4" s="35"/>
      <c r="B4" s="39"/>
      <c r="C4" s="39"/>
      <c r="D4" s="40"/>
      <c r="E4" s="41"/>
      <c r="F4" s="41"/>
      <c r="G4" s="42"/>
      <c r="H4" s="40"/>
      <c r="I4" s="43"/>
      <c r="J4" s="40"/>
      <c r="K4" s="44"/>
      <c r="L4" s="40"/>
      <c r="N4" s="37"/>
    </row>
    <row r="5" spans="1:14" ht="18" thickBot="1">
      <c r="A5" s="35"/>
      <c r="B5" s="831" t="s">
        <v>94</v>
      </c>
      <c r="C5" s="832"/>
      <c r="D5" s="833"/>
      <c r="E5" s="45"/>
      <c r="F5" s="46"/>
      <c r="G5" s="47"/>
      <c r="I5" s="48"/>
      <c r="K5" s="49"/>
      <c r="N5" s="37"/>
    </row>
    <row r="6" spans="1:14" ht="9.75" customHeight="1" thickBot="1">
      <c r="A6" s="35"/>
      <c r="B6" s="50"/>
      <c r="C6" s="50"/>
      <c r="D6" s="50"/>
      <c r="E6" s="51"/>
      <c r="F6" s="46"/>
      <c r="G6" s="47"/>
      <c r="I6" s="48"/>
      <c r="K6" s="49"/>
      <c r="N6" s="37"/>
    </row>
    <row r="7" spans="1:14" ht="18" thickBot="1">
      <c r="A7" s="35"/>
      <c r="B7" s="844" t="s">
        <v>161</v>
      </c>
      <c r="C7" s="845"/>
      <c r="D7" s="52">
        <f>SUM('KH - THEO DÕI LÒ'!K43:K43)/1000</f>
        <v>0</v>
      </c>
      <c r="E7" s="143" t="s">
        <v>95</v>
      </c>
      <c r="F7" s="144" t="s">
        <v>160</v>
      </c>
      <c r="G7" s="145">
        <v>511</v>
      </c>
      <c r="H7" s="145" t="s">
        <v>95</v>
      </c>
      <c r="I7" s="48"/>
      <c r="K7" s="49"/>
      <c r="N7" s="37"/>
    </row>
    <row r="8" spans="1:14" ht="18" thickBot="1">
      <c r="A8" s="35"/>
      <c r="B8" s="846" t="s">
        <v>96</v>
      </c>
      <c r="C8" s="847"/>
      <c r="D8" s="54">
        <f>+SUM('KH - THEO DÕI LÒ'!S43:S43)</f>
        <v>-11.000000000058208</v>
      </c>
      <c r="E8" s="55" t="s">
        <v>42</v>
      </c>
      <c r="F8" s="53"/>
      <c r="G8" s="47"/>
      <c r="I8" s="48"/>
      <c r="K8" s="49"/>
      <c r="N8" s="37"/>
    </row>
    <row r="9" spans="1:14" ht="9" customHeight="1" thickBot="1">
      <c r="A9" s="35"/>
      <c r="B9" s="56"/>
      <c r="C9" s="56"/>
      <c r="E9" s="46"/>
      <c r="F9" s="46"/>
      <c r="G9" s="47"/>
      <c r="I9" s="48"/>
      <c r="K9" s="49"/>
      <c r="N9" s="37"/>
    </row>
    <row r="10" spans="1:14" ht="18" thickBot="1">
      <c r="A10" s="35"/>
      <c r="B10" s="831" t="s">
        <v>97</v>
      </c>
      <c r="C10" s="832"/>
      <c r="D10" s="832"/>
      <c r="E10" s="832"/>
      <c r="F10" s="833"/>
      <c r="G10" s="47"/>
      <c r="I10" s="48"/>
      <c r="K10" s="49"/>
      <c r="N10" s="37"/>
    </row>
    <row r="11" spans="1:14" ht="9" customHeight="1" thickBot="1">
      <c r="A11" s="35"/>
      <c r="B11" s="57"/>
      <c r="C11" s="57"/>
      <c r="D11" s="57"/>
      <c r="E11" s="58"/>
      <c r="F11" s="58"/>
      <c r="G11" s="47"/>
      <c r="I11" s="48"/>
      <c r="K11" s="49"/>
      <c r="N11" s="37"/>
    </row>
    <row r="12" spans="1:14" ht="17.25">
      <c r="A12" s="35"/>
      <c r="B12" s="848" t="s">
        <v>98</v>
      </c>
      <c r="C12" s="849"/>
      <c r="D12" s="850"/>
      <c r="E12" s="854" t="s">
        <v>3</v>
      </c>
      <c r="F12" s="855"/>
      <c r="G12" s="856" t="s">
        <v>28</v>
      </c>
      <c r="H12" s="858" t="s">
        <v>99</v>
      </c>
      <c r="I12" s="866" t="s">
        <v>100</v>
      </c>
      <c r="J12" s="868" t="s">
        <v>91</v>
      </c>
      <c r="K12" s="869"/>
      <c r="L12" s="858" t="s">
        <v>101</v>
      </c>
      <c r="M12" s="860" t="s">
        <v>102</v>
      </c>
      <c r="N12" s="37"/>
    </row>
    <row r="13" spans="1:14" ht="17.25">
      <c r="A13" s="35"/>
      <c r="B13" s="851"/>
      <c r="C13" s="852"/>
      <c r="D13" s="853"/>
      <c r="E13" s="59" t="s">
        <v>103</v>
      </c>
      <c r="F13" s="60" t="s">
        <v>104</v>
      </c>
      <c r="G13" s="857"/>
      <c r="H13" s="859"/>
      <c r="I13" s="867"/>
      <c r="J13" s="61" t="s">
        <v>105</v>
      </c>
      <c r="K13" s="62" t="s">
        <v>106</v>
      </c>
      <c r="L13" s="859"/>
      <c r="M13" s="861"/>
      <c r="N13" s="37"/>
    </row>
    <row r="14" spans="1:14" ht="15.75" thickBot="1">
      <c r="A14" s="35"/>
      <c r="B14" s="862"/>
      <c r="C14" s="863"/>
      <c r="D14" s="863"/>
      <c r="E14" s="863"/>
      <c r="F14" s="863"/>
      <c r="G14" s="863"/>
      <c r="H14" s="863"/>
      <c r="I14" s="863"/>
      <c r="J14" s="863"/>
      <c r="K14" s="863"/>
      <c r="L14" s="863"/>
      <c r="M14" s="864"/>
      <c r="N14" s="37"/>
    </row>
    <row r="15" spans="1:14" ht="20.25" customHeight="1" thickBot="1">
      <c r="A15" s="35"/>
      <c r="B15" s="113">
        <v>1</v>
      </c>
      <c r="C15" s="865" t="s">
        <v>107</v>
      </c>
      <c r="D15" s="865"/>
      <c r="E15" s="63" t="e">
        <f t="array" ref="E15:E23">+'THEO DÕI KHẤU HAO VT'!AN5:AN13</f>
        <v>#REF!</v>
      </c>
      <c r="F15" s="66">
        <v>0</v>
      </c>
      <c r="G15" s="67" t="s">
        <v>43</v>
      </c>
      <c r="H15" s="68">
        <v>320000</v>
      </c>
      <c r="I15" s="68" t="e">
        <f>H15*E15</f>
        <v>#REF!</v>
      </c>
      <c r="J15" s="69" t="e">
        <f>E15/($D$7*1000)</f>
        <v>#REF!</v>
      </c>
      <c r="K15" s="69">
        <f t="array" ref="K15:K23">'[2]THỐNG KÊ SỬ DỤNG'!AM5:AM13</f>
        <v>3.4722222222222224E-6</v>
      </c>
      <c r="L15" s="68"/>
      <c r="M15" s="114" t="e">
        <f>I15/($D$7*1000)</f>
        <v>#REF!</v>
      </c>
      <c r="N15" s="37"/>
    </row>
    <row r="16" spans="1:14" ht="20.25" customHeight="1" thickBot="1">
      <c r="A16" s="35"/>
      <c r="B16" s="115">
        <v>2</v>
      </c>
      <c r="C16" s="829" t="s">
        <v>108</v>
      </c>
      <c r="D16" s="829"/>
      <c r="E16" s="64" t="e">
        <v>#REF!</v>
      </c>
      <c r="F16" s="72">
        <v>0</v>
      </c>
      <c r="G16" s="73" t="s">
        <v>109</v>
      </c>
      <c r="H16" s="74">
        <v>250000</v>
      </c>
      <c r="I16" s="74" t="e">
        <f t="shared" ref="I16:I20" si="0">H16*E16</f>
        <v>#REF!</v>
      </c>
      <c r="J16" s="70" t="e">
        <f t="shared" ref="J16:J23" si="1">E16/($D$7*1000)</f>
        <v>#REF!</v>
      </c>
      <c r="K16" s="70">
        <v>2.0833333333333333E-5</v>
      </c>
      <c r="L16" s="74"/>
      <c r="M16" s="124" t="e">
        <f t="shared" ref="M16:M23" si="2">I16/($D$7*1000)</f>
        <v>#REF!</v>
      </c>
      <c r="N16" s="37"/>
    </row>
    <row r="17" spans="1:14" ht="16.5" thickBot="1">
      <c r="A17" s="35"/>
      <c r="B17" s="116">
        <v>3</v>
      </c>
      <c r="C17" s="830" t="s">
        <v>110</v>
      </c>
      <c r="D17" s="830"/>
      <c r="E17" s="65" t="e">
        <v>#REF!</v>
      </c>
      <c r="F17" s="75">
        <v>0</v>
      </c>
      <c r="G17" s="76" t="s">
        <v>47</v>
      </c>
      <c r="H17" s="77">
        <v>225000</v>
      </c>
      <c r="I17" s="77" t="e">
        <f t="shared" si="0"/>
        <v>#REF!</v>
      </c>
      <c r="J17" s="71" t="e">
        <f t="shared" si="1"/>
        <v>#REF!</v>
      </c>
      <c r="K17" s="71">
        <v>2.0833333333333334E-6</v>
      </c>
      <c r="L17" s="77"/>
      <c r="M17" s="114" t="e">
        <f t="shared" si="2"/>
        <v>#REF!</v>
      </c>
      <c r="N17" s="37"/>
    </row>
    <row r="18" spans="1:14" ht="16.5" thickBot="1">
      <c r="A18" s="35"/>
      <c r="B18" s="115">
        <v>4</v>
      </c>
      <c r="C18" s="829" t="s">
        <v>111</v>
      </c>
      <c r="D18" s="829"/>
      <c r="E18" s="64" t="e">
        <v>#REF!</v>
      </c>
      <c r="F18" s="72">
        <v>0</v>
      </c>
      <c r="G18" s="73" t="s">
        <v>49</v>
      </c>
      <c r="H18" s="74">
        <v>47115</v>
      </c>
      <c r="I18" s="74" t="e">
        <f t="shared" si="0"/>
        <v>#REF!</v>
      </c>
      <c r="J18" s="70" t="e">
        <f t="shared" si="1"/>
        <v>#REF!</v>
      </c>
      <c r="K18" s="70">
        <v>1.0000000000000001E-5</v>
      </c>
      <c r="L18" s="74"/>
      <c r="M18" s="124" t="e">
        <f t="shared" si="2"/>
        <v>#REF!</v>
      </c>
      <c r="N18" s="37"/>
    </row>
    <row r="19" spans="1:14" ht="16.5" thickBot="1">
      <c r="A19" s="35"/>
      <c r="B19" s="116">
        <v>5</v>
      </c>
      <c r="C19" s="830" t="s">
        <v>112</v>
      </c>
      <c r="D19" s="830"/>
      <c r="E19" s="65" t="e">
        <v>#REF!</v>
      </c>
      <c r="F19" s="75">
        <v>0</v>
      </c>
      <c r="G19" s="76" t="s">
        <v>49</v>
      </c>
      <c r="H19" s="77">
        <v>60203</v>
      </c>
      <c r="I19" s="77" t="e">
        <f t="shared" si="0"/>
        <v>#REF!</v>
      </c>
      <c r="J19" s="71" t="e">
        <f t="shared" si="1"/>
        <v>#REF!</v>
      </c>
      <c r="K19" s="71">
        <v>1.4930555555555555E-5</v>
      </c>
      <c r="L19" s="77"/>
      <c r="M19" s="114" t="e">
        <f t="shared" si="2"/>
        <v>#REF!</v>
      </c>
      <c r="N19" s="37"/>
    </row>
    <row r="20" spans="1:14" ht="16.5" thickBot="1">
      <c r="A20" s="35"/>
      <c r="B20" s="115">
        <v>6</v>
      </c>
      <c r="C20" s="829" t="s">
        <v>113</v>
      </c>
      <c r="D20" s="829"/>
      <c r="E20" s="64" t="e">
        <v>#REF!</v>
      </c>
      <c r="F20" s="72">
        <v>0</v>
      </c>
      <c r="G20" s="73" t="s">
        <v>49</v>
      </c>
      <c r="H20" s="74">
        <v>50000</v>
      </c>
      <c r="I20" s="74" t="e">
        <f t="shared" si="0"/>
        <v>#REF!</v>
      </c>
      <c r="J20" s="70" t="e">
        <f t="shared" si="1"/>
        <v>#REF!</v>
      </c>
      <c r="K20" s="70">
        <v>1.0416666666666666E-5</v>
      </c>
      <c r="L20" s="74"/>
      <c r="M20" s="124" t="e">
        <f t="shared" si="2"/>
        <v>#REF!</v>
      </c>
      <c r="N20" s="37"/>
    </row>
    <row r="21" spans="1:14" ht="16.5" thickBot="1">
      <c r="A21" s="35"/>
      <c r="B21" s="116">
        <v>7</v>
      </c>
      <c r="C21" s="830" t="s">
        <v>114</v>
      </c>
      <c r="D21" s="830"/>
      <c r="E21" s="65" t="e">
        <v>#REF!</v>
      </c>
      <c r="F21" s="75">
        <v>0</v>
      </c>
      <c r="G21" s="76" t="s">
        <v>49</v>
      </c>
      <c r="H21" s="77">
        <v>14000</v>
      </c>
      <c r="I21" s="77" t="e">
        <f>H21*E21</f>
        <v>#REF!</v>
      </c>
      <c r="J21" s="71" t="e">
        <f t="shared" si="1"/>
        <v>#REF!</v>
      </c>
      <c r="K21" s="71">
        <v>6.770833333333333E-5</v>
      </c>
      <c r="L21" s="77"/>
      <c r="M21" s="114" t="e">
        <f t="shared" si="2"/>
        <v>#REF!</v>
      </c>
      <c r="N21" s="37"/>
    </row>
    <row r="22" spans="1:14" ht="16.5" thickBot="1">
      <c r="A22" s="35"/>
      <c r="B22" s="115">
        <v>8</v>
      </c>
      <c r="C22" s="829" t="s">
        <v>53</v>
      </c>
      <c r="D22" s="829"/>
      <c r="E22" s="64" t="e">
        <v>#REF!</v>
      </c>
      <c r="F22" s="72">
        <v>0</v>
      </c>
      <c r="G22" s="73" t="s">
        <v>54</v>
      </c>
      <c r="H22" s="74">
        <v>23000</v>
      </c>
      <c r="I22" s="74" t="e">
        <f t="shared" ref="I22:I23" si="3">H22*E22</f>
        <v>#REF!</v>
      </c>
      <c r="J22" s="70" t="e">
        <f t="shared" si="1"/>
        <v>#REF!</v>
      </c>
      <c r="K22" s="70">
        <v>1.875E-4</v>
      </c>
      <c r="L22" s="74"/>
      <c r="M22" s="124" t="e">
        <f t="shared" si="2"/>
        <v>#REF!</v>
      </c>
      <c r="N22" s="37"/>
    </row>
    <row r="23" spans="1:14" ht="16.5" thickBot="1">
      <c r="A23" s="35"/>
      <c r="B23" s="117">
        <v>9</v>
      </c>
      <c r="C23" s="886" t="s">
        <v>55</v>
      </c>
      <c r="D23" s="886"/>
      <c r="E23" s="118" t="e">
        <v>#REF!</v>
      </c>
      <c r="F23" s="119">
        <v>0</v>
      </c>
      <c r="G23" s="120" t="s">
        <v>54</v>
      </c>
      <c r="H23" s="121">
        <v>15000</v>
      </c>
      <c r="I23" s="121" t="e">
        <f t="shared" si="3"/>
        <v>#REF!</v>
      </c>
      <c r="J23" s="122" t="e">
        <f t="shared" si="1"/>
        <v>#REF!</v>
      </c>
      <c r="K23" s="122">
        <v>6.9444444444444444E-5</v>
      </c>
      <c r="L23" s="121"/>
      <c r="M23" s="123" t="e">
        <f t="shared" si="2"/>
        <v>#REF!</v>
      </c>
      <c r="N23" s="37"/>
    </row>
    <row r="24" spans="1:14" ht="15.75" thickBot="1">
      <c r="A24" s="35"/>
      <c r="B24" s="78"/>
      <c r="C24" s="79"/>
      <c r="D24" s="79"/>
      <c r="E24" s="80"/>
      <c r="F24" s="81"/>
      <c r="G24" s="82"/>
      <c r="H24" s="83"/>
      <c r="I24" s="83"/>
      <c r="J24" s="83"/>
      <c r="K24" s="84"/>
      <c r="L24" s="83"/>
      <c r="M24" s="83"/>
      <c r="N24" s="37"/>
    </row>
    <row r="25" spans="1:14" ht="18" thickBot="1">
      <c r="A25" s="35"/>
      <c r="B25" s="870" t="s">
        <v>115</v>
      </c>
      <c r="C25" s="871"/>
      <c r="D25" s="871"/>
      <c r="E25" s="871"/>
      <c r="F25" s="872"/>
      <c r="G25" s="47"/>
      <c r="I25" s="873"/>
      <c r="J25" s="873"/>
      <c r="K25" s="873"/>
      <c r="L25" s="873"/>
      <c r="M25" s="873"/>
      <c r="N25" s="37"/>
    </row>
    <row r="26" spans="1:14" ht="15.75" thickBot="1">
      <c r="A26" s="35"/>
      <c r="B26" s="85"/>
      <c r="C26" s="85"/>
      <c r="D26" s="85"/>
      <c r="E26" s="86"/>
      <c r="F26" s="86"/>
      <c r="G26" s="87"/>
      <c r="H26" s="85"/>
      <c r="I26" s="873"/>
      <c r="J26" s="873"/>
      <c r="K26" s="873"/>
      <c r="L26" s="873"/>
      <c r="M26" s="873"/>
      <c r="N26" s="37"/>
    </row>
    <row r="27" spans="1:14">
      <c r="A27" s="35"/>
      <c r="B27" s="874" t="s">
        <v>98</v>
      </c>
      <c r="C27" s="875"/>
      <c r="D27" s="875"/>
      <c r="E27" s="878" t="s">
        <v>116</v>
      </c>
      <c r="F27" s="878"/>
      <c r="G27" s="879" t="s">
        <v>28</v>
      </c>
      <c r="H27" s="881" t="s">
        <v>102</v>
      </c>
      <c r="I27" s="873"/>
      <c r="J27" s="873"/>
      <c r="K27" s="873"/>
      <c r="L27" s="873"/>
      <c r="M27" s="873"/>
      <c r="N27" s="37"/>
    </row>
    <row r="28" spans="1:14" ht="15.75" thickBot="1">
      <c r="A28" s="35"/>
      <c r="B28" s="876"/>
      <c r="C28" s="877"/>
      <c r="D28" s="877"/>
      <c r="E28" s="88" t="s">
        <v>3</v>
      </c>
      <c r="F28" s="89" t="s">
        <v>117</v>
      </c>
      <c r="G28" s="880"/>
      <c r="H28" s="882"/>
      <c r="I28" s="873"/>
      <c r="J28" s="873"/>
      <c r="K28" s="873"/>
      <c r="L28" s="873"/>
      <c r="M28" s="873"/>
      <c r="N28" s="37"/>
    </row>
    <row r="29" spans="1:14" ht="17.25">
      <c r="A29" s="35"/>
      <c r="B29" s="125">
        <v>1</v>
      </c>
      <c r="C29" s="883" t="s">
        <v>118</v>
      </c>
      <c r="D29" s="883"/>
      <c r="E29" s="90">
        <f>SUM('KH - THEO DÕI LÒ'!L43:L43)</f>
        <v>0</v>
      </c>
      <c r="F29" s="91">
        <f>SUM('KH - THEO DÕI LÒ'!N43:N43)</f>
        <v>0</v>
      </c>
      <c r="G29" s="92"/>
      <c r="H29" s="126" t="e">
        <f>+F29/($D$7*1000)</f>
        <v>#DIV/0!</v>
      </c>
      <c r="I29" s="873"/>
      <c r="J29" s="873"/>
      <c r="K29" s="873"/>
      <c r="L29" s="873"/>
      <c r="M29" s="873"/>
      <c r="N29" s="37"/>
    </row>
    <row r="30" spans="1:14" ht="17.25">
      <c r="A30" s="35"/>
      <c r="B30" s="127">
        <v>2</v>
      </c>
      <c r="C30" s="884" t="s">
        <v>119</v>
      </c>
      <c r="D30" s="884"/>
      <c r="E30" s="93">
        <v>11</v>
      </c>
      <c r="F30" s="94">
        <f>8.83*D7*1000</f>
        <v>0</v>
      </c>
      <c r="G30" s="95"/>
      <c r="H30" s="133" t="e">
        <f t="shared" ref="H30:H33" si="4">+F30/($D$7*1000)</f>
        <v>#DIV/0!</v>
      </c>
      <c r="I30" s="873"/>
      <c r="J30" s="873"/>
      <c r="K30" s="873"/>
      <c r="L30" s="873"/>
      <c r="M30" s="873"/>
      <c r="N30" s="37"/>
    </row>
    <row r="31" spans="1:14" ht="17.25">
      <c r="A31" s="35"/>
      <c r="B31" s="128">
        <v>3</v>
      </c>
      <c r="C31" s="885" t="s">
        <v>120</v>
      </c>
      <c r="D31" s="885"/>
      <c r="E31" s="96">
        <v>11</v>
      </c>
      <c r="F31" s="97">
        <f>F30</f>
        <v>0</v>
      </c>
      <c r="G31" s="98"/>
      <c r="H31" s="134" t="e">
        <f t="shared" si="4"/>
        <v>#DIV/0!</v>
      </c>
      <c r="I31" s="873"/>
      <c r="J31" s="873"/>
      <c r="K31" s="873"/>
      <c r="L31" s="873"/>
      <c r="M31" s="873"/>
      <c r="N31" s="37"/>
    </row>
    <row r="32" spans="1:14" ht="17.25">
      <c r="A32" s="35"/>
      <c r="B32" s="127">
        <v>4</v>
      </c>
      <c r="C32" s="884" t="s">
        <v>121</v>
      </c>
      <c r="D32" s="884"/>
      <c r="E32" s="93">
        <v>11</v>
      </c>
      <c r="F32" s="94">
        <f>8.83*D7*1000</f>
        <v>0</v>
      </c>
      <c r="G32" s="95"/>
      <c r="H32" s="133" t="e">
        <f t="shared" si="4"/>
        <v>#DIV/0!</v>
      </c>
      <c r="I32" s="873"/>
      <c r="J32" s="873"/>
      <c r="K32" s="873"/>
      <c r="L32" s="873"/>
      <c r="M32" s="873"/>
      <c r="N32" s="37"/>
    </row>
    <row r="33" spans="1:14" ht="18" thickBot="1">
      <c r="A33" s="35"/>
      <c r="B33" s="129">
        <v>5</v>
      </c>
      <c r="C33" s="888" t="s">
        <v>122</v>
      </c>
      <c r="D33" s="888"/>
      <c r="E33" s="130"/>
      <c r="F33" s="131">
        <f>15*D7*1000</f>
        <v>0</v>
      </c>
      <c r="G33" s="132"/>
      <c r="H33" s="135" t="e">
        <f t="shared" si="4"/>
        <v>#DIV/0!</v>
      </c>
      <c r="I33" s="873"/>
      <c r="J33" s="873"/>
      <c r="K33" s="873"/>
      <c r="L33" s="873"/>
      <c r="M33" s="873"/>
      <c r="N33" s="37"/>
    </row>
    <row r="34" spans="1:14" ht="15.75" thickBot="1">
      <c r="A34" s="35"/>
      <c r="I34" s="873"/>
      <c r="J34" s="873"/>
      <c r="K34" s="873"/>
      <c r="L34" s="873"/>
      <c r="M34" s="873"/>
      <c r="N34" s="37"/>
    </row>
    <row r="35" spans="1:14" ht="18" thickBot="1">
      <c r="A35" s="35"/>
      <c r="B35" s="870" t="s">
        <v>123</v>
      </c>
      <c r="C35" s="871"/>
      <c r="D35" s="871"/>
      <c r="E35" s="871"/>
      <c r="F35" s="872"/>
      <c r="I35" s="873"/>
      <c r="J35" s="873"/>
      <c r="K35" s="873"/>
      <c r="L35" s="873"/>
      <c r="M35" s="873"/>
      <c r="N35" s="37"/>
    </row>
    <row r="36" spans="1:14">
      <c r="A36" s="35"/>
      <c r="I36" s="873"/>
      <c r="J36" s="873"/>
      <c r="K36" s="873"/>
      <c r="L36" s="873"/>
      <c r="M36" s="873"/>
      <c r="N36" s="37"/>
    </row>
    <row r="37" spans="1:14">
      <c r="A37" s="35"/>
      <c r="B37" s="99" t="s">
        <v>34</v>
      </c>
      <c r="C37" s="889" t="s">
        <v>98</v>
      </c>
      <c r="D37" s="889"/>
      <c r="E37" s="100" t="s">
        <v>116</v>
      </c>
      <c r="F37" s="100" t="s">
        <v>124</v>
      </c>
      <c r="G37" s="889" t="s">
        <v>2</v>
      </c>
      <c r="H37" s="889"/>
      <c r="I37" s="873"/>
      <c r="J37" s="873"/>
      <c r="K37" s="873"/>
      <c r="L37" s="873"/>
      <c r="M37" s="873"/>
      <c r="N37" s="37"/>
    </row>
    <row r="38" spans="1:14" ht="17.25">
      <c r="A38" s="35"/>
      <c r="B38" s="101">
        <v>1</v>
      </c>
      <c r="C38" s="890" t="s">
        <v>125</v>
      </c>
      <c r="D38" s="890"/>
      <c r="E38" s="102" t="e">
        <f>SUM(I15:I23)</f>
        <v>#REF!</v>
      </c>
      <c r="F38" s="102" t="e">
        <f>SUM(M15:M23)</f>
        <v>#REF!</v>
      </c>
      <c r="G38" s="891"/>
      <c r="H38" s="891"/>
      <c r="I38" s="873"/>
      <c r="J38" s="873"/>
      <c r="K38" s="873"/>
      <c r="L38" s="873"/>
      <c r="M38" s="873"/>
      <c r="N38" s="37"/>
    </row>
    <row r="39" spans="1:14" ht="17.25">
      <c r="A39" s="35"/>
      <c r="B39" s="103">
        <v>2</v>
      </c>
      <c r="C39" s="892" t="s">
        <v>126</v>
      </c>
      <c r="D39" s="892"/>
      <c r="E39" s="104">
        <f>SUM(F29:F33)</f>
        <v>0</v>
      </c>
      <c r="F39" s="104" t="e">
        <f>SUM(H29:H33)</f>
        <v>#DIV/0!</v>
      </c>
      <c r="G39" s="891"/>
      <c r="H39" s="891"/>
      <c r="I39" s="873"/>
      <c r="J39" s="873"/>
      <c r="K39" s="873"/>
      <c r="L39" s="873"/>
      <c r="M39" s="873"/>
      <c r="N39" s="37"/>
    </row>
    <row r="40" spans="1:14" ht="17.25">
      <c r="A40" s="35"/>
      <c r="B40" s="893" t="s">
        <v>127</v>
      </c>
      <c r="C40" s="893"/>
      <c r="D40" s="893"/>
      <c r="E40" s="105" t="e">
        <f>SUM(E38:E39)</f>
        <v>#REF!</v>
      </c>
      <c r="F40" s="105" t="e">
        <f>SUM(F38:F39)</f>
        <v>#REF!</v>
      </c>
      <c r="G40" s="891"/>
      <c r="H40" s="891"/>
      <c r="I40" s="873"/>
      <c r="J40" s="873"/>
      <c r="K40" s="873"/>
      <c r="L40" s="873"/>
      <c r="M40" s="873"/>
      <c r="N40" s="37"/>
    </row>
    <row r="41" spans="1:14" ht="18" thickBot="1">
      <c r="A41" s="106"/>
      <c r="B41" s="887" t="s">
        <v>128</v>
      </c>
      <c r="C41" s="887"/>
      <c r="D41" s="887"/>
      <c r="E41" s="887"/>
      <c r="F41" s="887"/>
      <c r="G41" s="887"/>
      <c r="H41" s="887"/>
      <c r="I41" s="887"/>
      <c r="J41" s="887"/>
      <c r="K41" s="887"/>
      <c r="L41" s="887"/>
      <c r="M41" s="887"/>
      <c r="N41" s="107"/>
    </row>
  </sheetData>
  <mergeCells count="43">
    <mergeCell ref="B41:M41"/>
    <mergeCell ref="C33:D33"/>
    <mergeCell ref="B35:F35"/>
    <mergeCell ref="C37:D37"/>
    <mergeCell ref="G37:H37"/>
    <mergeCell ref="C38:D38"/>
    <mergeCell ref="G38:H40"/>
    <mergeCell ref="C39:D39"/>
    <mergeCell ref="B40:D40"/>
    <mergeCell ref="C21:D21"/>
    <mergeCell ref="C22:D22"/>
    <mergeCell ref="B25:F25"/>
    <mergeCell ref="I25:M40"/>
    <mergeCell ref="B27:D28"/>
    <mergeCell ref="E27:F27"/>
    <mergeCell ref="G27:G28"/>
    <mergeCell ref="H27:H28"/>
    <mergeCell ref="C29:D29"/>
    <mergeCell ref="C30:D30"/>
    <mergeCell ref="C31:D31"/>
    <mergeCell ref="C32:D32"/>
    <mergeCell ref="C23:D23"/>
    <mergeCell ref="M12:M13"/>
    <mergeCell ref="B14:M14"/>
    <mergeCell ref="C15:D15"/>
    <mergeCell ref="C16:D16"/>
    <mergeCell ref="I12:I13"/>
    <mergeCell ref="J12:K12"/>
    <mergeCell ref="C18:D18"/>
    <mergeCell ref="C19:D19"/>
    <mergeCell ref="C20:D20"/>
    <mergeCell ref="B10:F10"/>
    <mergeCell ref="B2:C3"/>
    <mergeCell ref="D2:L3"/>
    <mergeCell ref="B5:D5"/>
    <mergeCell ref="B7:C7"/>
    <mergeCell ref="B8:C8"/>
    <mergeCell ref="C17:D17"/>
    <mergeCell ref="B12:D13"/>
    <mergeCell ref="E12:F12"/>
    <mergeCell ref="G12:G13"/>
    <mergeCell ref="H12:H13"/>
    <mergeCell ref="L12:L13"/>
  </mergeCells>
  <pageMargins left="0.05" right="0.05" top="0.05" bottom="0.05" header="0.05" footer="0.05"/>
  <pageSetup paperSize="9" scale="61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F29"/>
  <sheetViews>
    <sheetView workbookViewId="0">
      <selection activeCell="I9" sqref="I9"/>
    </sheetView>
  </sheetViews>
  <sheetFormatPr defaultRowHeight="15"/>
  <cols>
    <col min="1" max="1" width="3.5703125" style="1" customWidth="1"/>
    <col min="2" max="2" width="18.85546875" style="1" customWidth="1"/>
    <col min="3" max="3" width="21.28515625" style="1" customWidth="1"/>
    <col min="4" max="4" width="7.28515625" style="1" customWidth="1"/>
    <col min="5" max="5" width="34.7109375" style="1" bestFit="1" customWidth="1"/>
    <col min="6" max="6" width="27.85546875" style="1" customWidth="1"/>
    <col min="7" max="16384" width="9.140625" style="1"/>
  </cols>
  <sheetData>
    <row r="1" spans="2:6" ht="39" customHeight="1" thickBot="1">
      <c r="B1" s="894" t="s">
        <v>258</v>
      </c>
      <c r="C1" s="895"/>
      <c r="D1" s="895"/>
      <c r="E1" s="895"/>
      <c r="F1" s="896"/>
    </row>
    <row r="2" spans="2:6" ht="27.75" customHeight="1" thickBot="1">
      <c r="B2" s="226" t="s">
        <v>98</v>
      </c>
      <c r="C2" s="227" t="s">
        <v>251</v>
      </c>
      <c r="D2" s="227" t="s">
        <v>34</v>
      </c>
      <c r="E2" s="227" t="s">
        <v>219</v>
      </c>
      <c r="F2" s="228" t="s">
        <v>2</v>
      </c>
    </row>
    <row r="3" spans="2:6" ht="27.75" customHeight="1">
      <c r="B3" s="908" t="s">
        <v>30</v>
      </c>
      <c r="C3" s="907" t="s">
        <v>220</v>
      </c>
      <c r="D3" s="229">
        <v>1</v>
      </c>
      <c r="E3" s="230" t="s">
        <v>224</v>
      </c>
      <c r="F3" s="902" t="s">
        <v>254</v>
      </c>
    </row>
    <row r="4" spans="2:6" ht="27.75" customHeight="1">
      <c r="B4" s="909"/>
      <c r="C4" s="897"/>
      <c r="D4" s="224">
        <v>2</v>
      </c>
      <c r="E4" s="225" t="s">
        <v>225</v>
      </c>
      <c r="F4" s="903"/>
    </row>
    <row r="5" spans="2:6" ht="27.75" customHeight="1">
      <c r="B5" s="909"/>
      <c r="C5" s="897"/>
      <c r="D5" s="224">
        <v>3</v>
      </c>
      <c r="E5" s="225" t="s">
        <v>226</v>
      </c>
      <c r="F5" s="903"/>
    </row>
    <row r="6" spans="2:6" ht="27.75" customHeight="1">
      <c r="B6" s="909"/>
      <c r="C6" s="897"/>
      <c r="D6" s="224">
        <v>4</v>
      </c>
      <c r="E6" s="225" t="s">
        <v>227</v>
      </c>
      <c r="F6" s="904"/>
    </row>
    <row r="7" spans="2:6" ht="27.75" customHeight="1">
      <c r="B7" s="909"/>
      <c r="C7" s="897" t="s">
        <v>221</v>
      </c>
      <c r="D7" s="224">
        <v>1</v>
      </c>
      <c r="E7" s="225" t="s">
        <v>228</v>
      </c>
      <c r="F7" s="905" t="s">
        <v>253</v>
      </c>
    </row>
    <row r="8" spans="2:6" ht="27.75" customHeight="1">
      <c r="B8" s="909"/>
      <c r="C8" s="897"/>
      <c r="D8" s="224">
        <v>2</v>
      </c>
      <c r="E8" s="225" t="s">
        <v>229</v>
      </c>
      <c r="F8" s="903"/>
    </row>
    <row r="9" spans="2:6" ht="27.75" customHeight="1">
      <c r="B9" s="909"/>
      <c r="C9" s="897"/>
      <c r="D9" s="224">
        <v>3</v>
      </c>
      <c r="E9" s="225" t="s">
        <v>230</v>
      </c>
      <c r="F9" s="903"/>
    </row>
    <row r="10" spans="2:6" ht="27.75" customHeight="1">
      <c r="B10" s="909"/>
      <c r="C10" s="897"/>
      <c r="D10" s="224">
        <v>4</v>
      </c>
      <c r="E10" s="225" t="s">
        <v>231</v>
      </c>
      <c r="F10" s="903"/>
    </row>
    <row r="11" spans="2:6" ht="27.75" customHeight="1">
      <c r="B11" s="909"/>
      <c r="C11" s="897"/>
      <c r="D11" s="224">
        <v>5</v>
      </c>
      <c r="E11" s="225" t="s">
        <v>232</v>
      </c>
      <c r="F11" s="903"/>
    </row>
    <row r="12" spans="2:6" ht="27.75" customHeight="1">
      <c r="B12" s="909"/>
      <c r="C12" s="897"/>
      <c r="D12" s="224">
        <v>6</v>
      </c>
      <c r="E12" s="225" t="s">
        <v>233</v>
      </c>
      <c r="F12" s="903"/>
    </row>
    <row r="13" spans="2:6" ht="27.75" customHeight="1">
      <c r="B13" s="909"/>
      <c r="C13" s="897"/>
      <c r="D13" s="224">
        <v>7</v>
      </c>
      <c r="E13" s="225" t="s">
        <v>234</v>
      </c>
      <c r="F13" s="904"/>
    </row>
    <row r="14" spans="2:6" ht="27.75" customHeight="1">
      <c r="B14" s="909"/>
      <c r="C14" s="897" t="s">
        <v>222</v>
      </c>
      <c r="D14" s="224">
        <v>1</v>
      </c>
      <c r="E14" s="225" t="s">
        <v>235</v>
      </c>
      <c r="F14" s="905" t="s">
        <v>255</v>
      </c>
    </row>
    <row r="15" spans="2:6" ht="27.75" customHeight="1">
      <c r="B15" s="909"/>
      <c r="C15" s="897"/>
      <c r="D15" s="224">
        <v>2</v>
      </c>
      <c r="E15" s="225" t="s">
        <v>236</v>
      </c>
      <c r="F15" s="903"/>
    </row>
    <row r="16" spans="2:6" ht="27.75" customHeight="1">
      <c r="B16" s="909"/>
      <c r="C16" s="897"/>
      <c r="D16" s="224">
        <v>3</v>
      </c>
      <c r="E16" s="225" t="s">
        <v>237</v>
      </c>
      <c r="F16" s="903"/>
    </row>
    <row r="17" spans="2:6" ht="27.75" customHeight="1" thickBot="1">
      <c r="B17" s="910"/>
      <c r="C17" s="898"/>
      <c r="D17" s="171">
        <v>4</v>
      </c>
      <c r="E17" s="231" t="s">
        <v>238</v>
      </c>
      <c r="F17" s="906"/>
    </row>
    <row r="18" spans="2:6" ht="27.75" customHeight="1">
      <c r="B18" s="899" t="s">
        <v>223</v>
      </c>
      <c r="C18" s="907" t="s">
        <v>220</v>
      </c>
      <c r="D18" s="229">
        <v>1</v>
      </c>
      <c r="E18" s="230" t="s">
        <v>239</v>
      </c>
      <c r="F18" s="902" t="s">
        <v>256</v>
      </c>
    </row>
    <row r="19" spans="2:6" ht="27.75" customHeight="1">
      <c r="B19" s="900"/>
      <c r="C19" s="897"/>
      <c r="D19" s="224">
        <v>2</v>
      </c>
      <c r="E19" s="225" t="s">
        <v>240</v>
      </c>
      <c r="F19" s="904"/>
    </row>
    <row r="20" spans="2:6" ht="27.75" customHeight="1">
      <c r="B20" s="900"/>
      <c r="C20" s="897" t="s">
        <v>221</v>
      </c>
      <c r="D20" s="224">
        <v>1</v>
      </c>
      <c r="E20" s="225" t="s">
        <v>241</v>
      </c>
      <c r="F20" s="905" t="s">
        <v>252</v>
      </c>
    </row>
    <row r="21" spans="2:6" ht="27.75" customHeight="1">
      <c r="B21" s="900"/>
      <c r="C21" s="897"/>
      <c r="D21" s="224">
        <v>2</v>
      </c>
      <c r="E21" s="225" t="s">
        <v>242</v>
      </c>
      <c r="F21" s="903"/>
    </row>
    <row r="22" spans="2:6" ht="27.75" customHeight="1">
      <c r="B22" s="900"/>
      <c r="C22" s="897"/>
      <c r="D22" s="224">
        <v>3</v>
      </c>
      <c r="E22" s="225" t="s">
        <v>243</v>
      </c>
      <c r="F22" s="903"/>
    </row>
    <row r="23" spans="2:6" ht="27.75" customHeight="1">
      <c r="B23" s="900"/>
      <c r="C23" s="897"/>
      <c r="D23" s="224">
        <v>4</v>
      </c>
      <c r="E23" s="225" t="s">
        <v>244</v>
      </c>
      <c r="F23" s="903"/>
    </row>
    <row r="24" spans="2:6" ht="27.75" customHeight="1">
      <c r="B24" s="900"/>
      <c r="C24" s="897"/>
      <c r="D24" s="224">
        <v>5</v>
      </c>
      <c r="E24" s="225" t="s">
        <v>247</v>
      </c>
      <c r="F24" s="903"/>
    </row>
    <row r="25" spans="2:6" ht="27.75" customHeight="1">
      <c r="B25" s="900"/>
      <c r="C25" s="897"/>
      <c r="D25" s="224">
        <v>6</v>
      </c>
      <c r="E25" s="225" t="s">
        <v>245</v>
      </c>
      <c r="F25" s="903"/>
    </row>
    <row r="26" spans="2:6" ht="27.75" customHeight="1">
      <c r="B26" s="900"/>
      <c r="C26" s="897"/>
      <c r="D26" s="224">
        <v>7</v>
      </c>
      <c r="E26" s="225" t="s">
        <v>246</v>
      </c>
      <c r="F26" s="904"/>
    </row>
    <row r="27" spans="2:6" ht="27.75" customHeight="1">
      <c r="B27" s="900"/>
      <c r="C27" s="897" t="s">
        <v>222</v>
      </c>
      <c r="D27" s="224">
        <v>1</v>
      </c>
      <c r="E27" s="225" t="s">
        <v>248</v>
      </c>
      <c r="F27" s="905" t="s">
        <v>257</v>
      </c>
    </row>
    <row r="28" spans="2:6" ht="27.75" customHeight="1">
      <c r="B28" s="900"/>
      <c r="C28" s="897"/>
      <c r="D28" s="224">
        <v>2</v>
      </c>
      <c r="E28" s="225" t="s">
        <v>249</v>
      </c>
      <c r="F28" s="903"/>
    </row>
    <row r="29" spans="2:6" ht="27.75" customHeight="1" thickBot="1">
      <c r="B29" s="901"/>
      <c r="C29" s="898"/>
      <c r="D29" s="171">
        <v>3</v>
      </c>
      <c r="E29" s="231" t="s">
        <v>250</v>
      </c>
      <c r="F29" s="906"/>
    </row>
  </sheetData>
  <mergeCells count="15">
    <mergeCell ref="B1:F1"/>
    <mergeCell ref="C27:C29"/>
    <mergeCell ref="B18:B29"/>
    <mergeCell ref="F3:F6"/>
    <mergeCell ref="F7:F13"/>
    <mergeCell ref="F14:F17"/>
    <mergeCell ref="F18:F19"/>
    <mergeCell ref="F20:F26"/>
    <mergeCell ref="F27:F29"/>
    <mergeCell ref="C3:C6"/>
    <mergeCell ref="C7:C13"/>
    <mergeCell ref="C14:C17"/>
    <mergeCell ref="B3:B17"/>
    <mergeCell ref="C18:C19"/>
    <mergeCell ref="C20:C26"/>
  </mergeCells>
  <printOptions horizontalCentered="1"/>
  <pageMargins left="0.05" right="0.05" top="0.05" bottom="0.05" header="0.05" footer="0.05"/>
  <pageSetup paperSize="9" scale="91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0"/>
  <sheetViews>
    <sheetView workbookViewId="0">
      <selection activeCell="C1" sqref="C1:I12"/>
    </sheetView>
  </sheetViews>
  <sheetFormatPr defaultRowHeight="15"/>
  <cols>
    <col min="1" max="1" width="11.5703125" customWidth="1"/>
    <col min="3" max="4" width="18.42578125" customWidth="1"/>
  </cols>
  <sheetData>
    <row r="1" spans="1:9">
      <c r="A1" t="s">
        <v>376</v>
      </c>
      <c r="E1" s="1"/>
      <c r="H1" s="911"/>
      <c r="I1" s="911"/>
    </row>
    <row r="2" spans="1:9">
      <c r="A2" s="360">
        <v>0</v>
      </c>
      <c r="F2" s="512"/>
      <c r="G2" s="512"/>
      <c r="H2" s="529"/>
      <c r="I2" s="529"/>
    </row>
    <row r="3" spans="1:9">
      <c r="A3" s="360">
        <f>+A2+TIME(0,30,0)</f>
        <v>2.0833333333333332E-2</v>
      </c>
      <c r="F3" s="512"/>
      <c r="G3" s="512"/>
    </row>
    <row r="4" spans="1:9">
      <c r="A4" s="360">
        <f t="shared" ref="A4:A50" si="0">+A3+TIME(0,30,0)</f>
        <v>4.1666666666666664E-2</v>
      </c>
    </row>
    <row r="5" spans="1:9">
      <c r="A5" s="360">
        <f t="shared" si="0"/>
        <v>6.25E-2</v>
      </c>
    </row>
    <row r="6" spans="1:9">
      <c r="A6" s="360">
        <f t="shared" si="0"/>
        <v>8.3333333333333329E-2</v>
      </c>
    </row>
    <row r="7" spans="1:9">
      <c r="A7" s="360">
        <f t="shared" si="0"/>
        <v>0.10416666666666666</v>
      </c>
    </row>
    <row r="8" spans="1:9">
      <c r="A8" s="360">
        <f t="shared" si="0"/>
        <v>0.12499999999999999</v>
      </c>
    </row>
    <row r="9" spans="1:9">
      <c r="A9" s="360">
        <f t="shared" si="0"/>
        <v>0.14583333333333331</v>
      </c>
    </row>
    <row r="10" spans="1:9">
      <c r="A10" s="360">
        <f t="shared" si="0"/>
        <v>0.16666666666666666</v>
      </c>
    </row>
    <row r="11" spans="1:9">
      <c r="A11" s="360">
        <f t="shared" si="0"/>
        <v>0.1875</v>
      </c>
    </row>
    <row r="12" spans="1:9">
      <c r="A12" s="360">
        <f t="shared" si="0"/>
        <v>0.20833333333333334</v>
      </c>
    </row>
    <row r="13" spans="1:9">
      <c r="A13" s="360">
        <f t="shared" si="0"/>
        <v>0.22916666666666669</v>
      </c>
    </row>
    <row r="14" spans="1:9">
      <c r="A14" s="360">
        <f t="shared" si="0"/>
        <v>0.25</v>
      </c>
    </row>
    <row r="15" spans="1:9">
      <c r="A15" s="360">
        <f t="shared" si="0"/>
        <v>0.27083333333333331</v>
      </c>
    </row>
    <row r="16" spans="1:9">
      <c r="A16" s="360">
        <f t="shared" si="0"/>
        <v>0.29166666666666663</v>
      </c>
    </row>
    <row r="17" spans="1:1">
      <c r="A17" s="360">
        <f t="shared" si="0"/>
        <v>0.31249999999999994</v>
      </c>
    </row>
    <row r="18" spans="1:1">
      <c r="A18" s="360">
        <f t="shared" si="0"/>
        <v>0.33333333333333326</v>
      </c>
    </row>
    <row r="19" spans="1:1">
      <c r="A19" s="360">
        <f t="shared" si="0"/>
        <v>0.35416666666666657</v>
      </c>
    </row>
    <row r="20" spans="1:1">
      <c r="A20" s="360">
        <f t="shared" si="0"/>
        <v>0.37499999999999989</v>
      </c>
    </row>
    <row r="21" spans="1:1">
      <c r="A21" s="360">
        <f t="shared" si="0"/>
        <v>0.3958333333333332</v>
      </c>
    </row>
    <row r="22" spans="1:1">
      <c r="A22" s="360">
        <f t="shared" si="0"/>
        <v>0.41666666666666652</v>
      </c>
    </row>
    <row r="23" spans="1:1">
      <c r="A23" s="360">
        <f t="shared" si="0"/>
        <v>0.43749999999999983</v>
      </c>
    </row>
    <row r="24" spans="1:1">
      <c r="A24" s="360">
        <f t="shared" si="0"/>
        <v>0.45833333333333315</v>
      </c>
    </row>
    <row r="25" spans="1:1">
      <c r="A25" s="360">
        <f t="shared" si="0"/>
        <v>0.47916666666666646</v>
      </c>
    </row>
    <row r="26" spans="1:1">
      <c r="A26" s="360">
        <f t="shared" si="0"/>
        <v>0.49999999999999978</v>
      </c>
    </row>
    <row r="27" spans="1:1">
      <c r="A27" s="360">
        <f t="shared" si="0"/>
        <v>0.52083333333333315</v>
      </c>
    </row>
    <row r="28" spans="1:1">
      <c r="A28" s="360">
        <f t="shared" si="0"/>
        <v>0.54166666666666652</v>
      </c>
    </row>
    <row r="29" spans="1:1">
      <c r="A29" s="360">
        <f t="shared" si="0"/>
        <v>0.56249999999999989</v>
      </c>
    </row>
    <row r="30" spans="1:1">
      <c r="A30" s="360">
        <f t="shared" si="0"/>
        <v>0.58333333333333326</v>
      </c>
    </row>
    <row r="31" spans="1:1">
      <c r="A31" s="360">
        <f t="shared" si="0"/>
        <v>0.60416666666666663</v>
      </c>
    </row>
    <row r="32" spans="1:1">
      <c r="A32" s="360">
        <f t="shared" si="0"/>
        <v>0.625</v>
      </c>
    </row>
    <row r="33" spans="1:1">
      <c r="A33" s="360">
        <f t="shared" si="0"/>
        <v>0.64583333333333337</v>
      </c>
    </row>
    <row r="34" spans="1:1">
      <c r="A34" s="360">
        <f t="shared" si="0"/>
        <v>0.66666666666666674</v>
      </c>
    </row>
    <row r="35" spans="1:1">
      <c r="A35" s="360">
        <f t="shared" si="0"/>
        <v>0.68750000000000011</v>
      </c>
    </row>
    <row r="36" spans="1:1">
      <c r="A36" s="360">
        <f t="shared" si="0"/>
        <v>0.70833333333333348</v>
      </c>
    </row>
    <row r="37" spans="1:1">
      <c r="A37" s="360">
        <f t="shared" si="0"/>
        <v>0.72916666666666685</v>
      </c>
    </row>
    <row r="38" spans="1:1">
      <c r="A38" s="360">
        <f t="shared" si="0"/>
        <v>0.75000000000000022</v>
      </c>
    </row>
    <row r="39" spans="1:1">
      <c r="A39" s="360">
        <f t="shared" si="0"/>
        <v>0.77083333333333359</v>
      </c>
    </row>
    <row r="40" spans="1:1">
      <c r="A40" s="360">
        <f t="shared" si="0"/>
        <v>0.79166666666666696</v>
      </c>
    </row>
    <row r="41" spans="1:1">
      <c r="A41" s="360">
        <f t="shared" si="0"/>
        <v>0.81250000000000033</v>
      </c>
    </row>
    <row r="42" spans="1:1">
      <c r="A42" s="360">
        <f t="shared" si="0"/>
        <v>0.8333333333333337</v>
      </c>
    </row>
    <row r="43" spans="1:1">
      <c r="A43" s="360">
        <f t="shared" si="0"/>
        <v>0.85416666666666707</v>
      </c>
    </row>
    <row r="44" spans="1:1">
      <c r="A44" s="360">
        <f t="shared" si="0"/>
        <v>0.87500000000000044</v>
      </c>
    </row>
    <row r="45" spans="1:1">
      <c r="A45" s="360">
        <f t="shared" si="0"/>
        <v>0.89583333333333381</v>
      </c>
    </row>
    <row r="46" spans="1:1">
      <c r="A46" s="360">
        <f t="shared" si="0"/>
        <v>0.91666666666666718</v>
      </c>
    </row>
    <row r="47" spans="1:1">
      <c r="A47" s="360">
        <f t="shared" si="0"/>
        <v>0.93750000000000056</v>
      </c>
    </row>
    <row r="48" spans="1:1">
      <c r="A48" s="360">
        <f t="shared" si="0"/>
        <v>0.95833333333333393</v>
      </c>
    </row>
    <row r="49" spans="1:1">
      <c r="A49" s="360">
        <f t="shared" si="0"/>
        <v>0.9791666666666673</v>
      </c>
    </row>
    <row r="50" spans="1:1">
      <c r="A50" s="360">
        <f t="shared" si="0"/>
        <v>1.0000000000000007</v>
      </c>
    </row>
  </sheetData>
  <mergeCells count="1">
    <mergeCell ref="H1:I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3"/>
  <sheetViews>
    <sheetView topLeftCell="B1" workbookViewId="0">
      <selection activeCell="H16" sqref="H16"/>
    </sheetView>
  </sheetViews>
  <sheetFormatPr defaultRowHeight="15"/>
  <cols>
    <col min="1" max="1" width="33.7109375" customWidth="1"/>
    <col min="2" max="2" width="36.5703125" customWidth="1"/>
    <col min="9" max="9" width="20.5703125" customWidth="1"/>
    <col min="10" max="10" width="14.7109375" customWidth="1"/>
    <col min="13" max="13" width="13.140625" customWidth="1"/>
  </cols>
  <sheetData>
    <row r="1" spans="1:16">
      <c r="A1" t="s">
        <v>410</v>
      </c>
      <c r="I1" s="552" t="s">
        <v>394</v>
      </c>
      <c r="J1" s="552" t="s">
        <v>0</v>
      </c>
      <c r="K1" s="552" t="s">
        <v>403</v>
      </c>
      <c r="L1" s="552" t="s">
        <v>396</v>
      </c>
      <c r="M1" s="552" t="s">
        <v>445</v>
      </c>
      <c r="N1" s="554"/>
      <c r="O1" s="912" t="s">
        <v>2</v>
      </c>
      <c r="P1" s="912"/>
    </row>
    <row r="2" spans="1:16" ht="30">
      <c r="A2" t="s">
        <v>423</v>
      </c>
      <c r="B2" t="s">
        <v>424</v>
      </c>
      <c r="C2" s="551" t="s">
        <v>436</v>
      </c>
      <c r="I2" t="s">
        <v>395</v>
      </c>
      <c r="L2" s="1">
        <v>4000</v>
      </c>
      <c r="M2" s="575" t="s">
        <v>447</v>
      </c>
      <c r="N2" s="512"/>
      <c r="O2" s="529" t="s">
        <v>412</v>
      </c>
      <c r="P2" s="529" t="s">
        <v>413</v>
      </c>
    </row>
    <row r="3" spans="1:16">
      <c r="A3" t="s">
        <v>425</v>
      </c>
      <c r="B3" t="s">
        <v>426</v>
      </c>
      <c r="C3" s="551" t="s">
        <v>437</v>
      </c>
      <c r="I3" t="s">
        <v>397</v>
      </c>
      <c r="L3" s="1">
        <v>1050</v>
      </c>
      <c r="M3" s="1">
        <v>1340</v>
      </c>
      <c r="N3" s="512"/>
    </row>
    <row r="4" spans="1:16" ht="15.75" thickBot="1">
      <c r="A4" t="s">
        <v>427</v>
      </c>
      <c r="B4" t="s">
        <v>428</v>
      </c>
      <c r="C4" s="551" t="s">
        <v>438</v>
      </c>
      <c r="I4" t="s">
        <v>446</v>
      </c>
      <c r="L4" s="1"/>
      <c r="M4" s="1">
        <v>2120</v>
      </c>
    </row>
    <row r="5" spans="1:16">
      <c r="C5" s="551"/>
      <c r="I5" s="913" t="s">
        <v>398</v>
      </c>
      <c r="J5" s="29" t="s">
        <v>443</v>
      </c>
      <c r="K5" s="29"/>
      <c r="L5" s="576"/>
      <c r="M5" s="1"/>
    </row>
    <row r="6" spans="1:16" ht="15.75" thickBot="1">
      <c r="A6" t="s">
        <v>429</v>
      </c>
      <c r="B6" t="s">
        <v>430</v>
      </c>
      <c r="C6" s="551" t="s">
        <v>439</v>
      </c>
      <c r="I6" s="914"/>
      <c r="J6" s="553" t="s">
        <v>338</v>
      </c>
      <c r="K6" s="553"/>
      <c r="L6" s="577">
        <v>920</v>
      </c>
      <c r="M6" s="1">
        <v>630</v>
      </c>
    </row>
    <row r="7" spans="1:16">
      <c r="A7" t="s">
        <v>411</v>
      </c>
      <c r="B7" t="s">
        <v>431</v>
      </c>
      <c r="C7" s="551" t="s">
        <v>440</v>
      </c>
      <c r="I7" s="913" t="s">
        <v>399</v>
      </c>
      <c r="J7" s="29" t="s">
        <v>443</v>
      </c>
      <c r="K7" s="29"/>
      <c r="L7" s="576"/>
      <c r="M7" s="1"/>
    </row>
    <row r="8" spans="1:16" ht="15.75" thickBot="1">
      <c r="C8" s="551"/>
      <c r="I8" s="914"/>
      <c r="J8" s="553" t="s">
        <v>338</v>
      </c>
      <c r="K8" s="553"/>
      <c r="L8" s="577"/>
      <c r="M8" s="1"/>
    </row>
    <row r="9" spans="1:16">
      <c r="C9" s="551"/>
      <c r="I9" s="913" t="s">
        <v>400</v>
      </c>
      <c r="J9" s="29" t="s">
        <v>443</v>
      </c>
      <c r="K9" s="29"/>
      <c r="L9" s="576"/>
      <c r="M9" s="1"/>
    </row>
    <row r="10" spans="1:16" ht="15.75" thickBot="1">
      <c r="A10" t="s">
        <v>432</v>
      </c>
      <c r="B10" t="s">
        <v>433</v>
      </c>
      <c r="C10" s="551" t="s">
        <v>441</v>
      </c>
      <c r="I10" s="914"/>
      <c r="J10" s="553" t="s">
        <v>338</v>
      </c>
      <c r="K10" s="553"/>
      <c r="L10" s="577"/>
      <c r="M10" s="1">
        <v>1430</v>
      </c>
    </row>
    <row r="11" spans="1:16">
      <c r="A11" t="s">
        <v>434</v>
      </c>
      <c r="B11" t="s">
        <v>435</v>
      </c>
      <c r="C11" s="551" t="s">
        <v>442</v>
      </c>
      <c r="I11" t="s">
        <v>401</v>
      </c>
      <c r="L11" s="1">
        <v>3300</v>
      </c>
      <c r="M11" s="1"/>
    </row>
    <row r="12" spans="1:16">
      <c r="A12" t="s">
        <v>422</v>
      </c>
      <c r="I12" t="s">
        <v>402</v>
      </c>
      <c r="L12" s="1">
        <v>1750</v>
      </c>
      <c r="M12" s="1"/>
    </row>
    <row r="13" spans="1:16">
      <c r="I13" t="s">
        <v>444</v>
      </c>
      <c r="L13" s="1">
        <v>3100</v>
      </c>
      <c r="M13" s="1"/>
    </row>
  </sheetData>
  <mergeCells count="4">
    <mergeCell ref="O1:P1"/>
    <mergeCell ref="I5:I6"/>
    <mergeCell ref="I9:I10"/>
    <mergeCell ref="I7:I8"/>
  </mergeCells>
  <hyperlinks>
    <hyperlink ref="C10" r:id="rId1"/>
    <hyperlink ref="C11" r:id="rId2"/>
    <hyperlink ref="C7" r:id="rId3"/>
    <hyperlink ref="C6" r:id="rId4"/>
    <hyperlink ref="C4" r:id="rId5"/>
    <hyperlink ref="C3" r:id="rId6"/>
    <hyperlink ref="C2" r:id="rId7"/>
  </hyperlinks>
  <pageMargins left="0.7" right="0.7" top="0.75" bottom="0.75" header="0.3" footer="0.3"/>
  <pageSetup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DINH MUC THONG SO VH</vt:lpstr>
      <vt:lpstr>KH - THEO DÕI LÒ</vt:lpstr>
      <vt:lpstr>BCAO TUAN</vt:lpstr>
      <vt:lpstr>TỔNG KẾT KẾ HOẠCH THÁNG</vt:lpstr>
      <vt:lpstr>DINH MUC CHI PHI VH</vt:lpstr>
      <vt:lpstr>ĐỊNH MỨC VT LÒ</vt:lpstr>
      <vt:lpstr>THEO DÕI KHẤU HAO VT</vt:lpstr>
      <vt:lpstr>BÁO CÁO GIÁ THÀNH</vt:lpstr>
      <vt:lpstr>QUY TRINH VAN HANH LO</vt:lpstr>
      <vt:lpstr>Sheet1</vt:lpstr>
      <vt:lpstr>Sheet2</vt:lpstr>
      <vt:lpstr>'BCAO TUAN'!Print_Area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2026-07-03T03:04:58Z</dcterms:modified>
</cp:coreProperties>
</file>